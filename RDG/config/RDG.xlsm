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2505" windowWidth="10725" windowHeight="8520" firstSheet="10" activeTab="12"/>
  </bookViews>
  <sheets>
    <sheet name="Info" sheetId="6" r:id="rId1"/>
    <sheet name="Rooms" sheetId="10" r:id="rId2"/>
    <sheet name="Attacks" sheetId="4" r:id="rId3"/>
    <sheet name="Monsters" sheetId="2" r:id="rId4"/>
    <sheet name="Armaments" sheetId="3" r:id="rId5"/>
    <sheet name="Potions" sheetId="5" r:id="rId6"/>
    <sheet name="Weapons" sheetId="7" r:id="rId7"/>
    <sheet name="Fight" sheetId="12" r:id="rId8"/>
    <sheet name="SpeedFunctions" sheetId="11" r:id="rId9"/>
    <sheet name="AccuracyFunctions" sheetId="13" r:id="rId10"/>
    <sheet name="HealthFunctions" sheetId="14" r:id="rId11"/>
    <sheet name="AttributeFunctions" sheetId="15" r:id="rId12"/>
    <sheet name="PotionFunctions" sheetId="16" r:id="rId13"/>
  </sheets>
  <functionGroups builtInGroupCount="17"/>
  <calcPr calcId="145621"/>
</workbook>
</file>

<file path=xl/calcChain.xml><?xml version="1.0" encoding="utf-8"?>
<calcChain xmlns="http://schemas.openxmlformats.org/spreadsheetml/2006/main">
  <c r="I10" i="5" l="1"/>
  <c r="I3" i="5"/>
  <c r="I2" i="5"/>
  <c r="G16" i="3"/>
  <c r="F16" i="3"/>
  <c r="G15" i="3"/>
  <c r="F15" i="3"/>
  <c r="G14" i="3"/>
  <c r="F14" i="3"/>
  <c r="G12" i="3"/>
  <c r="F12" i="3"/>
  <c r="G11" i="3"/>
  <c r="F11" i="3"/>
  <c r="G10" i="3"/>
  <c r="F10" i="3"/>
  <c r="G9" i="3"/>
  <c r="F9" i="3"/>
  <c r="G7" i="3"/>
  <c r="F7" i="3"/>
  <c r="G6" i="3"/>
  <c r="F6" i="3"/>
  <c r="G5" i="3"/>
  <c r="F5" i="3"/>
  <c r="F4" i="3"/>
  <c r="G2" i="3"/>
  <c r="F2" i="3"/>
</calcChain>
</file>

<file path=xl/connections.xml><?xml version="1.0" encoding="utf-8"?>
<connections xmlns="http://schemas.openxmlformats.org/spreadsheetml/2006/main">
  <connection id="1" name="D_Armaments" type="4" refreshedVersion="0" background="1">
    <webPr xml="1" sourceData="1" url="D:\Dokumente\fh\bif\3\ITP3\Config\Drafts\D_Armaments.xml" htmlTables="1" htmlFormat="all"/>
  </connection>
  <connection id="2" name="D_Armaments1" type="4" refreshedVersion="0" background="1">
    <webPr xml="1" sourceData="1" url="D:\Dokumente\fh\bif\3\ITP3\Config\Drafts\D_Armaments.xml" htmlTables="1" htmlFormat="all"/>
  </connection>
  <connection id="3" name="D_Armaments10" type="4" refreshedVersion="0" background="1">
    <webPr xml="1" sourceData="1" url="C:\Users\Flo\git\RDG\RDG\config\Drafts\D_Armaments.xml" htmlTables="1" htmlFormat="all"/>
  </connection>
  <connection id="4" name="D_Armaments2" type="4" refreshedVersion="0" background="1">
    <webPr xml="1" sourceData="1" url="D:\Dokumente\fh\bif\3\ITP3\Config\Drafts\D_Armaments.xml" htmlTables="1" htmlFormat="all"/>
  </connection>
  <connection id="5" name="D_Armaments3" type="4" refreshedVersion="0" background="1">
    <webPr xml="1" sourceData="1" url="D:\Dokumente\fh\bif\3\ITP3\Config\Drafts\D_Armaments.xml" htmlTables="1" htmlFormat="all"/>
  </connection>
  <connection id="6" name="D_Armaments4" type="4" refreshedVersion="0" background="1">
    <webPr xml="1" sourceData="1" url="C:\Users\Flo\git\RDG\RDG\config\Drafts\D_Armaments.xml" htmlTables="1" htmlFormat="all"/>
  </connection>
  <connection id="7" name="D_Armaments5" type="4" refreshedVersion="0" background="1">
    <webPr xml="1" sourceData="1" url="C:\Users\Flo\git\RDG\RDG\config\Drafts\D_Armaments.xml" htmlTables="1" htmlFormat="all"/>
  </connection>
  <connection id="8" name="D_Armaments6" type="4" refreshedVersion="0" background="1">
    <webPr xml="1" sourceData="1" url="C:\Users\Flo\git\RDG\RDG\config\Drafts\D_Armaments.xml" htmlTables="1" htmlFormat="all"/>
  </connection>
  <connection id="9" name="D_Armaments7" type="4" refreshedVersion="0" background="1">
    <webPr xml="1" sourceData="1" url="C:\Users\Flo\git\RDG\RDG\config\Drafts\D_Armaments.xml" htmlTables="1" htmlFormat="all"/>
  </connection>
  <connection id="10" name="D_Armaments8" type="4" refreshedVersion="0" background="1">
    <webPr xml="1" sourceData="1" url="C:\Users\Flo\git\RDG\RDG\config\Drafts\D_Armaments.xml" htmlTables="1" htmlFormat="all"/>
  </connection>
  <connection id="11" name="D_Armaments9" type="4" refreshedVersion="0" background="1">
    <webPr xml="1" sourceData="1" url="C:\Users\Flo\git\RDG\RDG\config\Drafts\D_Armaments.xml" htmlTables="1" htmlFormat="all"/>
  </connection>
  <connection id="12" name="D_Attacks" type="4" refreshedVersion="0" background="1">
    <webPr xml="1" sourceData="1" url="D:\Dokumente\fh\bif\3\ITP3\Config\Drafts\D_Attacks.xml" htmlTables="1" htmlFormat="all"/>
  </connection>
  <connection id="13" name="D_Attacks1" type="4" refreshedVersion="0" background="1">
    <webPr xml="1" sourceData="1" url="C:\Users\Flo\git\RDG\RDG\config\Drafts\D_Attacks.xml" htmlTables="1" htmlFormat="all"/>
  </connection>
  <connection id="14" name="D_Attacks2" type="4" refreshedVersion="0" background="1">
    <webPr xml="1" sourceData="1" url="C:\Users\Flo\git\RDG\RDG\config\Drafts\D_Attacks.xml" htmlTables="1" htmlFormat="all"/>
  </connection>
  <connection id="15" name="D_Attacks3" type="4" refreshedVersion="0" background="1">
    <webPr xml="1" sourceData="1" url="C:\Users\Flo\git\RDG\RDG\config\Drafts\D_Attacks.xml" htmlTables="1" htmlFormat="all"/>
  </connection>
  <connection id="16" name="D_Attacks4" type="4" refreshedVersion="0" background="1">
    <webPr xml="1" sourceData="1" url="C:\Users\Flo\git\RDG\RDG\config\Drafts\D_Attacks.xml" htmlTables="1" htmlFormat="all"/>
  </connection>
  <connection id="17" name="D_Attacks5" type="4" refreshedVersion="0" background="1">
    <webPr xml="1" sourceData="1" url="C:\Users\Flo\git\RDG\RDG\config\Drafts\D_Attacks.xml" htmlTables="1" htmlFormat="all"/>
  </connection>
  <connection id="18" name="D_Attacks6" type="4" refreshedVersion="0" background="1">
    <webPr xml="1" sourceData="1" url="C:\Users\Flo\git\RDG\RDG\config\Drafts\D_Attacks.xml" htmlTables="1" htmlFormat="all"/>
  </connection>
  <connection id="19" name="D_Monsters" type="4" refreshedVersion="0" background="1">
    <webPr xml="1" sourceData="1" url="D:\Dokumente\fh\bif\3\ITP3\Config\Drafts\D_Monsters.xml" htmlTables="1" htmlFormat="all"/>
  </connection>
  <connection id="20" name="D_Monsters1" type="4" refreshedVersion="0" background="1">
    <webPr xml="1" sourceData="1" url="D:\Dokumente\fh\bif\3\ITP3\Config\Drafts\D_Monsters.xml" htmlTables="1" htmlFormat="all"/>
  </connection>
  <connection id="21" name="D_Monsters10" type="4" refreshedVersion="0" background="1">
    <webPr xml="1" sourceData="1" url="C:\Users\Flo\git\RDG\RDG\config\Drafts\D_Monsters.xml" htmlTables="1" htmlFormat="all"/>
  </connection>
  <connection id="22" name="D_Monsters2" type="4" refreshedVersion="0" background="1">
    <webPr xml="1" sourceData="1" url="D:\Dokumente\fh\bif\3\ITP3\Config\Drafts\D_Monsters.xml" htmlTables="1" htmlFormat="all"/>
  </connection>
  <connection id="23" name="D_Monsters3" type="4" refreshedVersion="0" background="1">
    <webPr xml="1" sourceData="1" url="D:\Dokumente\fh\bif\3\ITP3\Config\Drafts\D_Monsters.xml" htmlTables="1" htmlFormat="all"/>
  </connection>
  <connection id="24" name="D_Monsters4" type="4" refreshedVersion="0" background="1">
    <webPr xml="1" sourceData="1" url="C:\Users\Flo\git\RDG\RDG\config\Drafts\D_Monsters.xml" htmlTables="1" htmlFormat="all"/>
  </connection>
  <connection id="25" name="D_Monsters5" type="4" refreshedVersion="0" background="1">
    <webPr xml="1" sourceData="1" url="C:\Users\Flo\git\RDG\RDG\config\Drafts\D_Monsters.xml" htmlTables="1" htmlFormat="all"/>
  </connection>
  <connection id="26" name="D_Monsters6" type="4" refreshedVersion="0" background="1">
    <webPr xml="1" sourceData="1" url="C:\Users\Flo\git\RDG\RDG\config\Drafts\D_Monsters.xml" htmlTables="1" htmlFormat="all"/>
  </connection>
  <connection id="27" name="D_Monsters7" type="4" refreshedVersion="0" background="1">
    <webPr xml="1" sourceData="1" url="C:\Users\Flo\git\RDG\RDG\config\Drafts\D_Monsters.xml" htmlTables="1" htmlFormat="all"/>
  </connection>
  <connection id="28" name="D_Monsters8" type="4" refreshedVersion="0" background="1">
    <webPr xml="1" sourceData="1" url="C:\Users\Flo\git\RDG\RDG\config\Drafts\D_Monsters.xml" htmlTables="1" htmlFormat="all"/>
  </connection>
  <connection id="29" name="D_Monsters9" type="4" refreshedVersion="0" background="1">
    <webPr xml="1" sourceData="1" url="C:\Users\Flo\git\RDG\RDG\config\Drafts\D_Monsters.xml" htmlTables="1" htmlFormat="all"/>
  </connection>
  <connection id="30" name="D_Potions" type="4" refreshedVersion="0" background="1">
    <webPr xml="1" sourceData="1" url="D:\Dokumente\fh\bif\3\ITP3\Config\Drafts\D_Potions.xml" htmlTables="1" htmlFormat="all"/>
  </connection>
  <connection id="31" name="D_Potions1" type="4" refreshedVersion="0" background="1">
    <webPr xml="1" sourceData="1" url="D:\Dokumente\fh\bif\3\ITP3\Config\Drafts\D_Potions.xml" htmlTables="1" htmlFormat="all"/>
  </connection>
  <connection id="32" name="D_Potions10" type="4" refreshedVersion="0" background="1">
    <webPr xml="1" sourceData="1" url="C:\Users\Flo\git\RDG\RDG\config\Drafts\D_Potions.xml" htmlTables="1" htmlFormat="all"/>
  </connection>
  <connection id="33" name="D_Potions2" type="4" refreshedVersion="0" background="1">
    <webPr xml="1" sourceData="1" url="D:\Dokumente\fh\bif\3\ITP3\Config\Drafts\D_Potions.xml" htmlTables="1" htmlFormat="all"/>
  </connection>
  <connection id="34" name="D_Potions3" type="4" refreshedVersion="0" background="1">
    <webPr xml="1" sourceData="1" url="D:\Dokumente\fh\bif\3\ITP3\Config\Drafts\D_Potions.xml" htmlTables="1" htmlFormat="all"/>
  </connection>
  <connection id="35" name="D_Potions4" type="4" refreshedVersion="0" background="1">
    <webPr xml="1" sourceData="1" url="C:\Users\Flo\git\RDG\RDG\config\Drafts\D_Potions.xml" htmlTables="1" htmlFormat="all"/>
  </connection>
  <connection id="36" name="D_Potions5" type="4" refreshedVersion="0" background="1">
    <webPr xml="1" sourceData="1" url="C:\Users\Flo\git\RDG\RDG\config\Drafts\D_Potions.xml" htmlTables="1" htmlFormat="all"/>
  </connection>
  <connection id="37" name="D_Potions6" type="4" refreshedVersion="0" background="1">
    <webPr xml="1" sourceData="1" url="C:\Users\Flo\git\RDG\RDG\config\Drafts\D_Potions.xml" htmlTables="1" htmlFormat="all"/>
  </connection>
  <connection id="38" name="D_Potions7" type="4" refreshedVersion="0" background="1">
    <webPr xml="1" sourceData="1" url="C:\Users\Flo\git\RDG\RDG\config\Drafts\D_Potions.xml" htmlTables="1" htmlFormat="all"/>
  </connection>
  <connection id="39" name="D_Potions8" type="4" refreshedVersion="0" background="1">
    <webPr xml="1" sourceData="1" url="C:\Users\Flo\git\RDG\RDG\config\Drafts\D_Potions.xml" htmlTables="1" htmlFormat="all"/>
  </connection>
  <connection id="40" name="D_Potions9" type="4" refreshedVersion="0" background="1">
    <webPr xml="1" sourceData="1" url="C:\Users\Flo\git\RDG\RDG\config\Drafts\D_Potions.xml" htmlTables="1" htmlFormat="all"/>
  </connection>
  <connection id="41" name="D_Rooms" type="4" refreshedVersion="0" background="1">
    <webPr xml="1" sourceData="1" url="D:\Dokumente\fh\bif\3\ITP3\Config\Drafts\D_Rooms.xml" htmlTables="1" htmlFormat="all"/>
  </connection>
  <connection id="42" name="D_Rooms_test" type="4" refreshedVersion="0" background="1">
    <webPr xml="1" sourceData="1" url="D:\Dokumente\fh\bif\3\ITP3\Config\Drafts\D_Rooms_test.xml" htmlTables="1" htmlFormat="all"/>
  </connection>
  <connection id="43" name="D_Rooms1" type="4" refreshedVersion="0" background="1">
    <webPr xml="1" sourceData="1" url="D:\Dokumente\fh\bif\3\ITP3\Config\Drafts\D_Rooms.xml" htmlTables="1" htmlFormat="all"/>
  </connection>
  <connection id="44" name="D_Rooms2" type="4" refreshedVersion="0" background="1">
    <webPr xml="1" sourceData="1" url="D:\Dokumente\fh\bif\3\ITP3\Config\Drafts\D_Rooms.xml" htmlTables="1" htmlFormat="all"/>
  </connection>
  <connection id="45" name="D_Rooms3" type="4" refreshedVersion="0" background="1">
    <webPr xml="1" sourceData="1" url="D:\Dokumente\fh\bif\3\ITP3\Config\Drafts\D_Rooms.xml" htmlTables="1" htmlFormat="all"/>
  </connection>
  <connection id="46" name="D_Rooms4" type="4" refreshedVersion="0" background="1">
    <webPr xml="1" sourceData="1" url="C:\Users\Flo\git\RDG\RDG\config\Drafts\D_Rooms.xml" htmlTables="1" htmlFormat="all"/>
  </connection>
  <connection id="47" name="D_Rooms5" type="4" refreshedVersion="0" background="1">
    <webPr xml="1" sourceData="1" url="C:\Users\Flo\git\RDG\RDG\config\Drafts\D_Rooms.xml" htmlTables="1" htmlFormat="all"/>
  </connection>
  <connection id="48" name="D_Rooms6" type="4" refreshedVersion="0" background="1">
    <webPr xml="1" sourceData="1" url="C:\Users\Flo\git\RDG\RDG\config\Drafts\D_Rooms.xml" htmlTables="1" htmlFormat="all"/>
  </connection>
  <connection id="49" name="D_Rooms7" type="4" refreshedVersion="0" background="1">
    <webPr xml="1" sourceData="1" url="C:\Users\Flo\git\RDG\RDG\config\Drafts\D_Rooms.xml" htmlTables="1" htmlFormat="all"/>
  </connection>
  <connection id="50" name="D_Rooms8" type="4" refreshedVersion="0" background="1">
    <webPr xml="1" sourceData="1" url="C:\Users\Flo\git\RDG\RDG\config\Drafts\D_Rooms.xml" htmlTables="1" htmlFormat="all"/>
  </connection>
  <connection id="51" name="D_text" type="4" refreshedVersion="0" background="1">
    <webPr xml="1" sourceData="1" url="D:\Dokumente\fh\bif\3\ITP3\Config\Drafts\D_text.xml" htmlTables="1" htmlFormat="all"/>
  </connection>
  <connection id="52" name="D_text1" type="4" refreshedVersion="0" background="1">
    <webPr xml="1" sourceData="1" url="D:\Dokumente\fh\bif\3\ITP3\Config\Drafts\D_text.xml" htmlTables="1" htmlFormat="all"/>
  </connection>
  <connection id="53" name="D_text2" type="4" refreshedVersion="0" background="1">
    <webPr xml="1" sourceData="1" url="D:\Dokumente\fh\bif\3\ITP3\Config\Drafts\D_text.xml" htmlTables="1" htmlFormat="all"/>
  </connection>
  <connection id="54" name="D_Weapons" type="4" refreshedVersion="0" background="1">
    <webPr xml="1" sourceData="1" url="D:\Dokumente\fh\bif\3\ITP3\Config\Drafts\D_Weapons.xml" htmlTables="1" htmlFormat="all"/>
  </connection>
  <connection id="55" name="D_Weapons1" type="4" refreshedVersion="0" background="1">
    <webPr xml="1" sourceData="1" url="D:\Dokumente\fh\bif\3\ITP3\Config\Drafts\D_Weapons.xml" htmlTables="1" htmlFormat="all"/>
  </connection>
  <connection id="56" name="D_Weapons10" type="4" refreshedVersion="0" background="1">
    <webPr xml="1" sourceData="1" url="C:\Users\Flo\git\RDG\RDG\config\Drafts\D_Weapons.xml" htmlTables="1" htmlFormat="all"/>
  </connection>
  <connection id="57" name="D_Weapons11" type="4" refreshedVersion="0" background="1">
    <webPr xml="1" sourceData="1" url="C:\Users\Flo\git\RDG\RDG\config\Drafts\D_Weapons.xml" htmlTables="1" htmlFormat="all"/>
  </connection>
  <connection id="58" name="D_Weapons2" type="4" refreshedVersion="0" background="1">
    <webPr xml="1" sourceData="1" url="D:\Dokumente\fh\bif\3\ITP3\Config\Drafts\D_Weapons.xml" htmlTables="1" htmlFormat="all"/>
  </connection>
  <connection id="59" name="D_Weapons3" type="4" refreshedVersion="0" background="1">
    <webPr xml="1" sourceData="1" url="D:\Dokumente\fh\bif\3\ITP3\Config\Drafts\D_Weapons.xml" htmlTables="1" htmlFormat="all"/>
  </connection>
  <connection id="60" name="D_Weapons4" type="4" refreshedVersion="0" background="1">
    <webPr xml="1" sourceData="1" url="D:\Dokumente\fh\bif\3\ITP3\Config\Drafts\D_Weapons.xml" htmlTables="1" htmlFormat="all"/>
  </connection>
  <connection id="61" name="D_Weapons5" type="4" refreshedVersion="0" background="1">
    <webPr xml="1" sourceData="1" url="C:\Users\Flo\git\RDG\RDG\config\Drafts\D_Weapons.xml" htmlTables="1" htmlFormat="all"/>
  </connection>
  <connection id="62" name="D_Weapons6" type="4" refreshedVersion="0" background="1">
    <webPr xml="1" sourceData="1" url="C:\Users\Flo\git\RDG\RDG\config\Drafts\D_Weapons.xml" htmlTables="1" htmlFormat="all"/>
  </connection>
  <connection id="63" name="D_Weapons7" type="4" refreshedVersion="0" background="1">
    <webPr xml="1" sourceData="1" url="C:\Users\Flo\git\RDG\RDG\config\Drafts\D_Weapons.xml" htmlTables="1" htmlFormat="all"/>
  </connection>
  <connection id="64" name="D_Weapons8" type="4" refreshedVersion="0" background="1">
    <webPr xml="1" sourceData="1" url="C:\Users\Flo\git\RDG\RDG\config\Drafts\D_Weapons.xml" htmlTables="1" htmlFormat="all"/>
  </connection>
  <connection id="65" name="D_Weapons9" type="4" refreshedVersion="0" background="1">
    <webPr xml="1" sourceData="1" url="C:\Users\Flo\git\RDG\RDG\config\Drafts\D_Weapons.xml" htmlTables="1" htmlFormat="all"/>
  </connection>
  <connection id="66" name="Monsters" type="4" refreshedVersion="0" background="1">
    <webPr xml="1" sourceData="1" url="C:\Users\Flo\git\RDG\RDG\config\Results\Monsters.xml" htmlTables="1" htmlFormat="all"/>
  </connection>
  <connection id="67" name="Schema_Potions" type="4" refreshedVersion="0" background="1">
    <webPr xml="1" sourceData="1" url="D:\Dokumente\fh\bif\3\ITP3\Config\Schema_Potions.xml" htmlTables="1" htmlFormat="all"/>
  </connection>
</connections>
</file>

<file path=xl/sharedStrings.xml><?xml version="1.0" encoding="utf-8"?>
<sst xmlns="http://schemas.openxmlformats.org/spreadsheetml/2006/main" count="571" uniqueCount="352">
  <si>
    <t>Axt</t>
  </si>
  <si>
    <t>Salamander</t>
  </si>
  <si>
    <t>Goblin</t>
  </si>
  <si>
    <t>Gremlin</t>
  </si>
  <si>
    <t>Zombie</t>
  </si>
  <si>
    <t>x</t>
  </si>
  <si>
    <t>n</t>
  </si>
  <si>
    <t>-</t>
  </si>
  <si>
    <t>self</t>
  </si>
  <si>
    <t>opponent</t>
  </si>
  <si>
    <t>hp</t>
  </si>
  <si>
    <t>strength</t>
  </si>
  <si>
    <t>speed</t>
  </si>
  <si>
    <t>accuracy</t>
  </si>
  <si>
    <t>&gt;</t>
  </si>
  <si>
    <t>&lt;</t>
  </si>
  <si>
    <t>Effect</t>
  </si>
  <si>
    <t>Target</t>
  </si>
  <si>
    <t>Mode</t>
  </si>
  <si>
    <t>Instant Cure</t>
  </si>
  <si>
    <t>Regeneration</t>
  </si>
  <si>
    <t>Antidote</t>
  </si>
  <si>
    <t>Strength</t>
  </si>
  <si>
    <t>Speed</t>
  </si>
  <si>
    <t>Accuracy</t>
  </si>
  <si>
    <t xml:space="preserve">Blindness </t>
  </si>
  <si>
    <t>Weakness</t>
  </si>
  <si>
    <t>Poison</t>
  </si>
  <si>
    <t>Slowness</t>
  </si>
  <si>
    <t>fills x HP immediatly</t>
  </si>
  <si>
    <t>regenerates x HP over n rounds</t>
  </si>
  <si>
    <t>reverses poison effect</t>
  </si>
  <si>
    <t>increases strength by x for n rounds</t>
  </si>
  <si>
    <t>increases speed by x for n rounds</t>
  </si>
  <si>
    <t>increases accuracy by x for n rounds</t>
  </si>
  <si>
    <t>decreases accuracy by x for n rounds</t>
  </si>
  <si>
    <t>descreases speed by x for n rounds</t>
  </si>
  <si>
    <t>deals x damage for n rounds</t>
  </si>
  <si>
    <t>decreases strength by x for n rounds</t>
  </si>
  <si>
    <t>Description</t>
  </si>
  <si>
    <t>Name</t>
  </si>
  <si>
    <t>Alle Excelsheets in dieser Arbeitsmappe können automatisch in XML exportiert werden.</t>
  </si>
  <si>
    <t>Anleitung: http://www.excel-easy.com/examples/xml.html</t>
  </si>
  <si>
    <t>Fists</t>
  </si>
  <si>
    <t>Dagger</t>
  </si>
  <si>
    <t>Sword</t>
  </si>
  <si>
    <t>Shield</t>
  </si>
  <si>
    <t>Sabre</t>
  </si>
  <si>
    <t>Longsword</t>
  </si>
  <si>
    <t>Bow</t>
  </si>
  <si>
    <t>Attack</t>
  </si>
  <si>
    <t>Defence</t>
  </si>
  <si>
    <t>Type</t>
  </si>
  <si>
    <t>Max</t>
  </si>
  <si>
    <t>Slots</t>
  </si>
  <si>
    <t>single-hand</t>
  </si>
  <si>
    <t>two-hand</t>
  </si>
  <si>
    <t>leather</t>
  </si>
  <si>
    <t>habergeon</t>
  </si>
  <si>
    <t>Leather Helmet</t>
  </si>
  <si>
    <t>Leather Harness</t>
  </si>
  <si>
    <t>Leather Gauntlets</t>
  </si>
  <si>
    <t>Leather Cuisse</t>
  </si>
  <si>
    <t>Leather Boots</t>
  </si>
  <si>
    <t>Habergeon Helmet</t>
  </si>
  <si>
    <t>Habergeon Harness</t>
  </si>
  <si>
    <t>Habergeon Gauntlets</t>
  </si>
  <si>
    <t>Habergeon Cuisse</t>
  </si>
  <si>
    <t>Habergeon Boots</t>
  </si>
  <si>
    <t>plate</t>
  </si>
  <si>
    <t>Plate Helmet</t>
  </si>
  <si>
    <t>Plate Harness</t>
  </si>
  <si>
    <t>Plate Gauntlets</t>
  </si>
  <si>
    <t>Plate Cuisse</t>
  </si>
  <si>
    <t>Plate Boots</t>
  </si>
  <si>
    <t>Bonus</t>
  </si>
  <si>
    <t>Armor</t>
  </si>
  <si>
    <t>*malus</t>
  </si>
  <si>
    <t>HP</t>
  </si>
  <si>
    <t>easy</t>
  </si>
  <si>
    <t>normal</t>
  </si>
  <si>
    <t>hard</t>
  </si>
  <si>
    <t>occur the most</t>
  </si>
  <si>
    <t>occur second most</t>
  </si>
  <si>
    <t>treasure chamber</t>
  </si>
  <si>
    <t>Rat</t>
  </si>
  <si>
    <t>Spider</t>
  </si>
  <si>
    <t>Frog</t>
  </si>
  <si>
    <t>Bat</t>
  </si>
  <si>
    <t>Ghost</t>
  </si>
  <si>
    <t>Ogre</t>
  </si>
  <si>
    <t>Giant</t>
  </si>
  <si>
    <t>Cyclops</t>
  </si>
  <si>
    <t>Level</t>
  </si>
  <si>
    <t>Kill Bonus Low</t>
  </si>
  <si>
    <t>Kill Bonus High</t>
  </si>
  <si>
    <t>Kill Bonus Type</t>
  </si>
  <si>
    <t>Torso</t>
  </si>
  <si>
    <t>Head</t>
  </si>
  <si>
    <t>Arms</t>
  </si>
  <si>
    <t>Legs</t>
  </si>
  <si>
    <t>HP Damage</t>
  </si>
  <si>
    <t>Hit Probability</t>
  </si>
  <si>
    <t>*all values are multipliers and malus</t>
  </si>
  <si>
    <t>*effects are calculated from current values</t>
  </si>
  <si>
    <t>Dead End</t>
  </si>
  <si>
    <t>Hallway</t>
  </si>
  <si>
    <t>Turn</t>
  </si>
  <si>
    <t>T-Junction</t>
  </si>
  <si>
    <t>Junction</t>
  </si>
  <si>
    <t>Treasure Chamber</t>
  </si>
  <si>
    <t>2 opposing doors</t>
  </si>
  <si>
    <t>1 door</t>
  </si>
  <si>
    <t>2 rectangular doors</t>
  </si>
  <si>
    <t>3 doors</t>
  </si>
  <si>
    <t>4 doors</t>
  </si>
  <si>
    <t>middle of the map, 2 doors</t>
  </si>
  <si>
    <t>Monster</t>
  </si>
  <si>
    <t>no</t>
  </si>
  <si>
    <t>Image</t>
  </si>
  <si>
    <t>Door Positions</t>
  </si>
  <si>
    <t>E</t>
  </si>
  <si>
    <t>N</t>
  </si>
  <si>
    <t>S</t>
  </si>
  <si>
    <t>W</t>
  </si>
  <si>
    <t>*random values range</t>
  </si>
  <si>
    <t>*Directions can be rotated</t>
  </si>
  <si>
    <t>eg.: Dead End rand. Funct. Returns 0,7:</t>
  </si>
  <si>
    <t>no: 0</t>
  </si>
  <si>
    <t>easy: 0-0,33</t>
  </si>
  <si>
    <t>normal: 0,34-1</t>
  </si>
  <si>
    <t>hard: 1-1</t>
  </si>
  <si>
    <t>0,7 &gt; no, 0,7 &gt; easy, 0,7 &lt; normal =&gt;</t>
  </si>
  <si>
    <t>0,7 equals monster</t>
  </si>
  <si>
    <t>check if normal == 0</t>
  </si>
  <si>
    <t>if yes: retval equals hard</t>
  </si>
  <si>
    <t xml:space="preserve">*when retval &gt; normal &amp;&amp; normal &lt; hard: </t>
  </si>
  <si>
    <t>else: retval equals normal</t>
  </si>
  <si>
    <t>Java: build monster rand. Ranges:</t>
  </si>
  <si>
    <t>Junctions: easy-normal opponents, &lt;= weak items</t>
  </si>
  <si>
    <t>Strength of items: modifier: sets items stats in constructor</t>
  </si>
  <si>
    <t>Dead Ends: easy-normal opponents, &lt;= strong items</t>
  </si>
  <si>
    <t>Hallways and Turns: no-normal opponents, &lt;=medium items</t>
  </si>
  <si>
    <t>Treasure Chamber: hard opponents, &lt;= strong items</t>
  </si>
  <si>
    <t>weak</t>
  </si>
  <si>
    <t>medium</t>
  </si>
  <si>
    <t>strong</t>
  </si>
  <si>
    <t>Class Multiplier</t>
  </si>
  <si>
    <t>*balancing</t>
  </si>
  <si>
    <t>Find Probabilities</t>
  </si>
  <si>
    <t>*provide lists of each type</t>
  </si>
  <si>
    <t>pick from lists depending on rand value</t>
  </si>
  <si>
    <t>each item in list has same chance</t>
  </si>
  <si>
    <t>Item_Multiplier</t>
  </si>
  <si>
    <t>Item_Count</t>
  </si>
  <si>
    <t>Stats Low Multiplier</t>
  </si>
  <si>
    <t>Stats High Multiplier</t>
  </si>
  <si>
    <t>Item Class</t>
  </si>
  <si>
    <t>none</t>
  </si>
  <si>
    <t>Bitte in Excel die Kommetrennzeichen auf "." stellen!!! (google)</t>
  </si>
  <si>
    <t>rooms/tileset.png</t>
  </si>
  <si>
    <t>monsters/rat.png</t>
  </si>
  <si>
    <t>monsters/spider.png</t>
  </si>
  <si>
    <t>monsters/frog.png</t>
  </si>
  <si>
    <t>monsters/bat.png</t>
  </si>
  <si>
    <t>monsters/salamander.png</t>
  </si>
  <si>
    <t>monsters/goblin.png</t>
  </si>
  <si>
    <t>monsters/gremlin.png</t>
  </si>
  <si>
    <t>monsters/ghost.png</t>
  </si>
  <si>
    <t>monsters/zombie.png</t>
  </si>
  <si>
    <t>monsters/ogre.png</t>
  </si>
  <si>
    <t>monsters/giant.png</t>
  </si>
  <si>
    <t>monsters/cyclops.png</t>
  </si>
  <si>
    <t>armaments/leather_helmet.png</t>
  </si>
  <si>
    <t>armaments/leather_harness.png</t>
  </si>
  <si>
    <t>armaments/leather_gauntlets.png</t>
  </si>
  <si>
    <t>armaments/leather_cuisse.png</t>
  </si>
  <si>
    <t>armaments/leather_boots.png</t>
  </si>
  <si>
    <t>armaments/habergeon_helmet.png</t>
  </si>
  <si>
    <t>armaments/habergeon_harness.png</t>
  </si>
  <si>
    <t>armaments/habergeon_gauntlets.png</t>
  </si>
  <si>
    <t>armaments/habergeon_cuisse.png</t>
  </si>
  <si>
    <t>armaments/habergeon_boots.png</t>
  </si>
  <si>
    <t>armaments/plate_helmet.png</t>
  </si>
  <si>
    <t>armaments/plate_harness.png</t>
  </si>
  <si>
    <t>armaments/plate_gauntlets.png</t>
  </si>
  <si>
    <t>armaments/plate_cuisse.png</t>
  </si>
  <si>
    <t>armaments/plate_boots.png</t>
  </si>
  <si>
    <t>potions/instant_cure.png</t>
  </si>
  <si>
    <t>potions/regeneration.png</t>
  </si>
  <si>
    <t>potions/antidote.png</t>
  </si>
  <si>
    <t>potions/strength.png</t>
  </si>
  <si>
    <t>potions/speed.png</t>
  </si>
  <si>
    <t>potions/accuracy.png</t>
  </si>
  <si>
    <t>potions/blindness.png</t>
  </si>
  <si>
    <t>potions/slowness.png</t>
  </si>
  <si>
    <t>potions/poison.png</t>
  </si>
  <si>
    <t>potions/weakness.png</t>
  </si>
  <si>
    <t>weapons/fists.png</t>
  </si>
  <si>
    <t>weapons/dagger.png</t>
  </si>
  <si>
    <t>weapons/axt.png</t>
  </si>
  <si>
    <t>weapons/sword.png</t>
  </si>
  <si>
    <t>weapons/shield.png</t>
  </si>
  <si>
    <t>weapons/sabre.png</t>
  </si>
  <si>
    <t>weapons/longsword.png</t>
  </si>
  <si>
    <t>weapons/bow.png</t>
  </si>
  <si>
    <t>Monster_Count</t>
  </si>
  <si>
    <t>playerArmorSpeedMalus</t>
  </si>
  <si>
    <t>playerArmorSpeedMalusSum</t>
  </si>
  <si>
    <t>playerWeaponSpeedMalusMax</t>
  </si>
  <si>
    <t>Results</t>
  </si>
  <si>
    <t>Health</t>
  </si>
  <si>
    <t>firstAttack</t>
  </si>
  <si>
    <t>parrySuccess</t>
  </si>
  <si>
    <t>hitSuccess</t>
  </si>
  <si>
    <t>randAccuracy</t>
  </si>
  <si>
    <t>randSpeed</t>
  </si>
  <si>
    <t>healthDamage</t>
  </si>
  <si>
    <t>attributeDamage</t>
  </si>
  <si>
    <t>Player 1 Stats</t>
  </si>
  <si>
    <t>Player 2 Stats</t>
  </si>
  <si>
    <t>Balancing Sheet for Fights</t>
  </si>
  <si>
    <t xml:space="preserve">Detailed listings of all parameters with min, avg and max values </t>
  </si>
  <si>
    <t>Constants</t>
  </si>
  <si>
    <t>Variables</t>
  </si>
  <si>
    <t>weaponSpeedMult</t>
  </si>
  <si>
    <t>enemyArmorSpeedMalus</t>
  </si>
  <si>
    <t>enemyArmorSpeedMalusSum</t>
  </si>
  <si>
    <t>enemyWeaponSpeedMalusMax</t>
  </si>
  <si>
    <t xml:space="preserve">Sum of all Speed Stats for equipped armament </t>
  </si>
  <si>
    <t>Speed Malus</t>
  </si>
  <si>
    <t>100 - min. Speed of equipped Weapons</t>
  </si>
  <si>
    <t>playerWeaponSpeedMalus</t>
  </si>
  <si>
    <t>enemyWeaponSpeedMalus</t>
  </si>
  <si>
    <t>p1Speed / 100 * playerArmorSpeedMalusSum * armorSpeedMalusMultiplier</t>
  </si>
  <si>
    <t>p1Speed / 100 * playerWeaponSpeedMalusMax * weaponSpeedMult</t>
  </si>
  <si>
    <t>p1Speed - playerArmorSpeedMalus - playerWeaponSpeedMalus</t>
  </si>
  <si>
    <t>calcCreatureSpeed</t>
  </si>
  <si>
    <t>speedBasedSuccess</t>
  </si>
  <si>
    <t>speedRandLow</t>
  </si>
  <si>
    <t>speedRandHigh</t>
  </si>
  <si>
    <t>playerSpeed</t>
  </si>
  <si>
    <t>enemySpeed</t>
  </si>
  <si>
    <t>speedBase</t>
  </si>
  <si>
    <t>speedSuccess</t>
  </si>
  <si>
    <t>determineFirstAttack</t>
  </si>
  <si>
    <t>"player" if playerSpeed.avg &gt; enemySpeed.avg, else "enemy"</t>
  </si>
  <si>
    <t>player</t>
  </si>
  <si>
    <t>Game Progress</t>
  </si>
  <si>
    <t>finishedFights</t>
  </si>
  <si>
    <t>finishedFightsDivisor</t>
  </si>
  <si>
    <t>parrier</t>
  </si>
  <si>
    <t>calcCreatureAccuracy</t>
  </si>
  <si>
    <t>accuracyMultiplier</t>
  </si>
  <si>
    <t>speedBasedSuccess.playerSpeed</t>
  </si>
  <si>
    <t>speedBasedSuccess.enemySpeed</t>
  </si>
  <si>
    <t>selected attacker in fightTable</t>
  </si>
  <si>
    <t>true if parrierSpeed.avg &gt;= opponentSpeed.avg</t>
  </si>
  <si>
    <t>p1Speed + ((calcCreatureSpeed.playerSpeed / p1Speed) * speedBase) * speedRand</t>
  </si>
  <si>
    <t>p2Speed + ((calcCreatureSpeed.enemySpeed / p2Speed) * speedBase) * speedRand</t>
  </si>
  <si>
    <t>p2Speed / 100 * enemyArmorSpeedMalusSum * armorSpeedMalusMultiplier</t>
  </si>
  <si>
    <t>p2Speed / 100 * enemyWeaponSpeedMalusMax * weaponSpeedMult</t>
  </si>
  <si>
    <t>p2Speed - enemyArmorSpeedMalus - enemyWeaponSpeedMalus</t>
  </si>
  <si>
    <t>playerAccuracy</t>
  </si>
  <si>
    <t>enemyAccuracy</t>
  </si>
  <si>
    <t>min</t>
  </si>
  <si>
    <t>avg</t>
  </si>
  <si>
    <t>max</t>
  </si>
  <si>
    <t>calcHitSuccess</t>
  </si>
  <si>
    <t>randAccuracyLow</t>
  </si>
  <si>
    <t>randAccuracyHigh</t>
  </si>
  <si>
    <t>randPlayerAccuracy</t>
  </si>
  <si>
    <t>randEnemyAccuracy</t>
  </si>
  <si>
    <t>randPlayerSpeed</t>
  </si>
  <si>
    <t>randEnemySpeed</t>
  </si>
  <si>
    <t>activeAttack</t>
  </si>
  <si>
    <t>attacker</t>
  </si>
  <si>
    <t>p1Accuracy / 100 * getEquipmentStats(1, "Weapons", "Average", "Accuracy") * accuracyMultiplier</t>
  </si>
  <si>
    <t>p2Accuracy / 100 * getEquipmentStats(2, "Weapons", "Average", "Accuracy") * accuracyMultiplier  OR monster.Accuracy * statsMult</t>
  </si>
  <si>
    <t>accuracyBase</t>
  </si>
  <si>
    <t>All results on this sheet are average values between min and max.</t>
  </si>
  <si>
    <t>are shown in individual sheets -&gt; avg based on avg random values</t>
  </si>
  <si>
    <t>activeAttackHitProbability * (p1Accuracy + ((playerAccuracy / p1Accuracy) * accuracyBase) * randAccuracy)</t>
  </si>
  <si>
    <t>activeAttackHitProbability * (p2Accuracy + ((enemyAccuracy / p2Accuracy) * accuracyBase) * randAccuracy)</t>
  </si>
  <si>
    <t>speedBasedSuccess(enemy).player</t>
  </si>
  <si>
    <t>speedBasedSuccess(enemy).enemy</t>
  </si>
  <si>
    <t>selected attacker from fightTable</t>
  </si>
  <si>
    <t>true if attacker's accuracy &gt; defender's speed</t>
  </si>
  <si>
    <t>calcHealthDamage</t>
  </si>
  <si>
    <t>playerWeaponDamage</t>
  </si>
  <si>
    <t>enemyWeaponDamage</t>
  </si>
  <si>
    <t>playerStrength</t>
  </si>
  <si>
    <t>enemyStrength</t>
  </si>
  <si>
    <t>attackDamage</t>
  </si>
  <si>
    <t>attackType</t>
  </si>
  <si>
    <t>playerArmor</t>
  </si>
  <si>
    <t>enemyArmor</t>
  </si>
  <si>
    <t>playerDefense</t>
  </si>
  <si>
    <t>enemyDefense</t>
  </si>
  <si>
    <t>playerRawDamage</t>
  </si>
  <si>
    <t>enemyRawDamage</t>
  </si>
  <si>
    <t>playerHealthDamage</t>
  </si>
  <si>
    <t>enemyHealthDamage</t>
  </si>
  <si>
    <t>Player</t>
  </si>
  <si>
    <t>strengthMult</t>
  </si>
  <si>
    <t>damageMult</t>
  </si>
  <si>
    <t>baseDefensePlayer</t>
  </si>
  <si>
    <t>baseDefenseEasy</t>
  </si>
  <si>
    <t>baseDefenseHard</t>
  </si>
  <si>
    <t>baseDefenseNormal</t>
  </si>
  <si>
    <t>weaponMult</t>
  </si>
  <si>
    <t>armorMult</t>
  </si>
  <si>
    <t>calcAttributeDamage</t>
  </si>
  <si>
    <t>easyAttributeDamageMult</t>
  </si>
  <si>
    <t>normalAttributeDamageMult</t>
  </si>
  <si>
    <t>hardAttributeDamageMult</t>
  </si>
  <si>
    <t>playerAttribute</t>
  </si>
  <si>
    <t>enemyAttribute</t>
  </si>
  <si>
    <t>attributeType</t>
  </si>
  <si>
    <t>playerAttributeDamage</t>
  </si>
  <si>
    <t>enemyAttributeDamage</t>
  </si>
  <si>
    <t>playerAttributeDamageMult</t>
  </si>
  <si>
    <t>playerDamageMult</t>
  </si>
  <si>
    <t>enemyDamageMult</t>
  </si>
  <si>
    <t>Player 1 Result</t>
  </si>
  <si>
    <t>Player 2 Result</t>
  </si>
  <si>
    <t>Potions</t>
  </si>
  <si>
    <t>target</t>
  </si>
  <si>
    <t>attribute</t>
  </si>
  <si>
    <t>power</t>
  </si>
  <si>
    <t>rounds</t>
  </si>
  <si>
    <t>Antidote is not listed here because its power does not change.</t>
  </si>
  <si>
    <t>potionPower</t>
  </si>
  <si>
    <t>calcPotionEffect</t>
  </si>
  <si>
    <t>power * (1 + (finishedFights / finishedFightsDivisor))</t>
  </si>
  <si>
    <t>playerAttributeDamageMult * attack.X</t>
  </si>
  <si>
    <t>(playerAttributeDamageMult || easyAttributeDamageMult || normalAttributeDamageMult || hardAttributeDamageMult) * attack.X</t>
  </si>
  <si>
    <t>enemyAttribute * playerDamageMult</t>
  </si>
  <si>
    <t>playerAttribute * enemyDamageMult</t>
  </si>
  <si>
    <t>sum of all weapons' attack values equipped by player</t>
  </si>
  <si>
    <t>sum of all weapons' attack values equipped by enemy</t>
  </si>
  <si>
    <t>sum of all armaments' armor values and a shield's defense value equipped by enemy</t>
  </si>
  <si>
    <t>sum of all armaments' armor values and a shield's defense value equipped by player</t>
  </si>
  <si>
    <t>attack.HPDamage * attack.statsMultiplier</t>
  </si>
  <si>
    <t>attackDamage * (strengthMult * playerStrength + weaponMult * playerWeaponDamage)</t>
  </si>
  <si>
    <t>attackDamage * (strengthMult * enemyStrength + weaponMult * enemyWeaponDamage)</t>
  </si>
  <si>
    <t>armorMult * playerArmor + playerBaseDefense</t>
  </si>
  <si>
    <t>armorMult * enemyArmor + enemyBaseDefense</t>
  </si>
  <si>
    <t>parryMultiplier * playerRawDamage / enemyDefense * damageMult</t>
  </si>
  <si>
    <t>(1 + (finishedFights / finishedFightsDivisor)) * parryMultiplier * enemyRawDamage / playerDefense * damageMult</t>
  </si>
  <si>
    <t>armorSpeedMalusMult</t>
  </si>
  <si>
    <t>activeAttackHitProbability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</si>
</sst>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b/>
      <sz val="10"/>
      <color rgb="FFFFFFFF"/>
      <name val="Verdana"/>
      <family val="2"/>
    </font>
    <font>
      <sz val="10"/>
      <color theme="1"/>
      <name val="Verdana"/>
    </font>
    <font>
      <b/>
      <sz val="10"/>
      <color rgb="FFFFFFFF"/>
      <name val="Verdana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6600"/>
        <bgColor indexed="64"/>
      </patternFill>
    </fill>
  </fills>
  <borders count="1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03">
    <xf numFmtId="0" fontId="0" fillId="0" borderId="0" xfId="0"/>
    <xf numFmtId="49" fontId="1" fillId="0" borderId="5" xfId="0" applyNumberFormat="1" applyFont="1" applyBorder="1" applyAlignment="1">
      <alignment horizontal="center" vertical="center"/>
    </xf>
    <xf numFmtId="49" fontId="1" fillId="0" borderId="3" xfId="0" applyNumberFormat="1" applyFont="1" applyBorder="1" applyAlignment="1">
      <alignment horizontal="center" vertical="center"/>
    </xf>
    <xf numFmtId="49" fontId="1" fillId="0" borderId="12" xfId="0" applyNumberFormat="1" applyFont="1" applyBorder="1" applyAlignment="1">
      <alignment horizontal="center" vertical="center"/>
    </xf>
    <xf numFmtId="49" fontId="1" fillId="0" borderId="11" xfId="0" applyNumberFormat="1" applyFont="1" applyBorder="1" applyAlignment="1">
      <alignment horizontal="center" vertical="center"/>
    </xf>
    <xf numFmtId="49" fontId="3" fillId="0" borderId="12" xfId="0" applyNumberFormat="1" applyFont="1" applyFill="1" applyBorder="1" applyAlignment="1">
      <alignment horizontal="center" vertical="center"/>
    </xf>
    <xf numFmtId="49" fontId="3" fillId="0" borderId="5" xfId="0" applyNumberFormat="1" applyFont="1" applyFill="1" applyBorder="1" applyAlignment="1">
      <alignment horizontal="center" vertical="center"/>
    </xf>
    <xf numFmtId="49" fontId="1" fillId="0" borderId="5" xfId="0" applyNumberFormat="1" applyFont="1" applyFill="1" applyBorder="1" applyAlignment="1">
      <alignment horizontal="center" vertical="center"/>
    </xf>
    <xf numFmtId="49" fontId="1" fillId="0" borderId="11" xfId="0" applyNumberFormat="1" applyFont="1" applyFill="1" applyBorder="1" applyAlignment="1">
      <alignment horizontal="center" vertical="center"/>
    </xf>
    <xf numFmtId="49" fontId="3" fillId="0" borderId="11" xfId="0" applyNumberFormat="1" applyFont="1" applyFill="1" applyBorder="1" applyAlignment="1">
      <alignment horizontal="center" vertical="center"/>
    </xf>
    <xf numFmtId="49" fontId="1" fillId="0" borderId="12" xfId="0" applyNumberFormat="1" applyFont="1" applyBorder="1" applyAlignment="1">
      <alignment horizontal="justify" vertical="center"/>
    </xf>
    <xf numFmtId="49" fontId="1" fillId="0" borderId="5" xfId="0" applyNumberFormat="1" applyFont="1" applyBorder="1" applyAlignment="1">
      <alignment horizontal="justify" vertical="center"/>
    </xf>
    <xf numFmtId="49" fontId="1" fillId="0" borderId="11" xfId="0" applyNumberFormat="1" applyFont="1" applyBorder="1" applyAlignment="1">
      <alignment horizontal="justify" vertical="center"/>
    </xf>
    <xf numFmtId="49" fontId="1" fillId="0" borderId="3" xfId="0" applyNumberFormat="1" applyFont="1" applyBorder="1" applyAlignment="1">
      <alignment horizontal="justify" vertical="center" wrapText="1"/>
    </xf>
    <xf numFmtId="49" fontId="1" fillId="0" borderId="5" xfId="0" applyNumberFormat="1" applyFont="1" applyBorder="1" applyAlignment="1">
      <alignment horizontal="justify" vertical="center" wrapText="1"/>
    </xf>
    <xf numFmtId="49" fontId="1" fillId="0" borderId="11" xfId="0" applyNumberFormat="1" applyFont="1" applyBorder="1" applyAlignment="1">
      <alignment horizontal="justify" vertical="center" wrapText="1"/>
    </xf>
    <xf numFmtId="49" fontId="1" fillId="0" borderId="12" xfId="0" applyNumberFormat="1" applyFont="1" applyBorder="1" applyAlignment="1">
      <alignment horizontal="justify" vertical="center" wrapText="1"/>
    </xf>
    <xf numFmtId="49" fontId="1" fillId="0" borderId="3" xfId="0" applyNumberFormat="1" applyFont="1" applyBorder="1" applyAlignment="1">
      <alignment horizontal="justify" vertical="center"/>
    </xf>
    <xf numFmtId="49" fontId="1" fillId="0" borderId="4" xfId="0" applyNumberFormat="1" applyFont="1" applyBorder="1" applyAlignment="1">
      <alignment horizontal="justify" vertical="center"/>
    </xf>
    <xf numFmtId="49" fontId="1" fillId="0" borderId="6" xfId="0" applyNumberFormat="1" applyFont="1" applyBorder="1" applyAlignment="1">
      <alignment horizontal="justify" vertical="center"/>
    </xf>
    <xf numFmtId="49" fontId="1" fillId="0" borderId="15" xfId="0" applyNumberFormat="1" applyFont="1" applyBorder="1" applyAlignment="1">
      <alignment horizontal="justify" vertical="center"/>
    </xf>
    <xf numFmtId="49" fontId="0" fillId="0" borderId="0" xfId="0" applyNumberFormat="1"/>
    <xf numFmtId="49" fontId="2" fillId="2" borderId="7" xfId="0" applyNumberFormat="1" applyFont="1" applyFill="1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1" fontId="0" fillId="0" borderId="0" xfId="0" applyNumberFormat="1"/>
    <xf numFmtId="2" fontId="0" fillId="0" borderId="0" xfId="0" applyNumberFormat="1"/>
    <xf numFmtId="2" fontId="0" fillId="0" borderId="0" xfId="0" applyNumberFormat="1" applyAlignment="1"/>
    <xf numFmtId="2" fontId="2" fillId="2" borderId="14" xfId="0" applyNumberFormat="1" applyFont="1" applyFill="1" applyBorder="1" applyAlignment="1">
      <alignment horizontal="center" vertical="center"/>
    </xf>
    <xf numFmtId="2" fontId="2" fillId="2" borderId="9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" fontId="2" fillId="2" borderId="9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/>
    <xf numFmtId="1" fontId="2" fillId="2" borderId="1" xfId="0" applyNumberFormat="1" applyFont="1" applyFill="1" applyBorder="1" applyAlignment="1">
      <alignment horizontal="center" vertical="center"/>
    </xf>
    <xf numFmtId="1" fontId="2" fillId="2" borderId="14" xfId="0" applyNumberFormat="1" applyFont="1" applyFill="1" applyBorder="1" applyAlignment="1">
      <alignment horizontal="center" vertical="center"/>
    </xf>
    <xf numFmtId="1" fontId="2" fillId="2" borderId="8" xfId="0" applyNumberFormat="1" applyFont="1" applyFill="1" applyBorder="1" applyAlignment="1">
      <alignment horizontal="center" vertical="center"/>
    </xf>
    <xf numFmtId="49" fontId="2" fillId="2" borderId="14" xfId="0" applyNumberFormat="1" applyFont="1" applyFill="1" applyBorder="1" applyAlignment="1">
      <alignment horizontal="center" vertical="center"/>
    </xf>
    <xf numFmtId="49" fontId="2" fillId="2" borderId="8" xfId="0" applyNumberFormat="1" applyFont="1" applyFill="1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justify" vertical="center" wrapText="1"/>
    </xf>
    <xf numFmtId="49" fontId="0" fillId="0" borderId="0" xfId="0" applyNumberFormat="1" applyAlignment="1"/>
    <xf numFmtId="2" fontId="2" fillId="2" borderId="9" xfId="0" applyNumberFormat="1" applyFont="1" applyFill="1" applyBorder="1" applyAlignment="1">
      <alignment horizontal="justify" vertical="center" wrapText="1"/>
    </xf>
    <xf numFmtId="2" fontId="2" fillId="2" borderId="1" xfId="0" applyNumberFormat="1" applyFont="1" applyFill="1" applyBorder="1" applyAlignment="1">
      <alignment horizontal="justify" vertical="center" wrapText="1"/>
    </xf>
    <xf numFmtId="2" fontId="1" fillId="0" borderId="12" xfId="0" applyNumberFormat="1" applyFont="1" applyBorder="1" applyAlignment="1">
      <alignment horizontal="justify" vertical="center" wrapText="1"/>
    </xf>
    <xf numFmtId="2" fontId="1" fillId="0" borderId="5" xfId="0" applyNumberFormat="1" applyFont="1" applyBorder="1" applyAlignment="1">
      <alignment horizontal="justify" vertical="center" wrapText="1"/>
    </xf>
    <xf numFmtId="2" fontId="1" fillId="0" borderId="11" xfId="0" applyNumberFormat="1" applyFont="1" applyBorder="1" applyAlignment="1">
      <alignment horizontal="justify" vertical="center" wrapText="1"/>
    </xf>
    <xf numFmtId="2" fontId="2" fillId="2" borderId="2" xfId="0" applyNumberFormat="1" applyFont="1" applyFill="1" applyBorder="1" applyAlignment="1">
      <alignment horizontal="justify" vertical="center" wrapText="1"/>
    </xf>
    <xf numFmtId="49" fontId="2" fillId="2" borderId="1" xfId="0" applyNumberFormat="1" applyFont="1" applyFill="1" applyBorder="1" applyAlignment="1">
      <alignment horizontal="justify" vertical="center" wrapText="1"/>
    </xf>
    <xf numFmtId="49" fontId="1" fillId="0" borderId="0" xfId="0" applyNumberFormat="1" applyFont="1" applyFill="1" applyBorder="1" applyAlignment="1">
      <alignment horizontal="center" vertical="center" wrapText="1"/>
    </xf>
    <xf numFmtId="49" fontId="2" fillId="2" borderId="9" xfId="0" applyNumberFormat="1" applyFont="1" applyFill="1" applyBorder="1" applyAlignment="1">
      <alignment horizontal="justify" vertical="center"/>
    </xf>
    <xf numFmtId="49" fontId="2" fillId="2" borderId="1" xfId="0" applyNumberFormat="1" applyFont="1" applyFill="1" applyBorder="1" applyAlignment="1">
      <alignment horizontal="justify" vertical="center"/>
    </xf>
    <xf numFmtId="49" fontId="1" fillId="0" borderId="0" xfId="0" applyNumberFormat="1" applyFont="1" applyFill="1" applyBorder="1" applyAlignment="1">
      <alignment horizontal="justify" vertical="center"/>
    </xf>
    <xf numFmtId="49" fontId="2" fillId="2" borderId="2" xfId="0" applyNumberFormat="1" applyFont="1" applyFill="1" applyBorder="1" applyAlignment="1">
      <alignment horizontal="justify" vertical="center"/>
    </xf>
    <xf numFmtId="2" fontId="2" fillId="2" borderId="1" xfId="0" applyNumberFormat="1" applyFont="1" applyFill="1" applyBorder="1" applyAlignment="1">
      <alignment horizontal="justify" vertical="center"/>
    </xf>
    <xf numFmtId="2" fontId="1" fillId="0" borderId="12" xfId="0" applyNumberFormat="1" applyFont="1" applyBorder="1" applyAlignment="1">
      <alignment horizontal="justify" vertical="center"/>
    </xf>
    <xf numFmtId="2" fontId="1" fillId="0" borderId="0" xfId="0" applyNumberFormat="1" applyFont="1" applyFill="1" applyBorder="1" applyAlignment="1">
      <alignment horizontal="justify" vertical="center"/>
    </xf>
    <xf numFmtId="1" fontId="2" fillId="2" borderId="1" xfId="0" applyNumberFormat="1" applyFont="1" applyFill="1" applyBorder="1" applyAlignment="1">
      <alignment horizontal="justify" vertical="center"/>
    </xf>
    <xf numFmtId="1" fontId="1" fillId="0" borderId="12" xfId="0" applyNumberFormat="1" applyFont="1" applyBorder="1" applyAlignment="1">
      <alignment horizontal="justify" vertical="center"/>
    </xf>
    <xf numFmtId="1" fontId="1" fillId="0" borderId="5" xfId="0" applyNumberFormat="1" applyFont="1" applyBorder="1" applyAlignment="1">
      <alignment horizontal="justify" vertical="center"/>
    </xf>
    <xf numFmtId="1" fontId="1" fillId="0" borderId="11" xfId="0" applyNumberFormat="1" applyFont="1" applyBorder="1" applyAlignment="1">
      <alignment horizontal="justify" vertical="center"/>
    </xf>
    <xf numFmtId="1" fontId="2" fillId="2" borderId="13" xfId="0" applyNumberFormat="1" applyFont="1" applyFill="1" applyBorder="1" applyAlignment="1">
      <alignment horizontal="justify" vertical="center"/>
    </xf>
    <xf numFmtId="1" fontId="1" fillId="0" borderId="3" xfId="0" applyNumberFormat="1" applyFont="1" applyBorder="1" applyAlignment="1">
      <alignment horizontal="justify" vertical="center"/>
    </xf>
    <xf numFmtId="2" fontId="2" fillId="2" borderId="9" xfId="0" applyNumberFormat="1" applyFont="1" applyFill="1" applyBorder="1" applyAlignment="1">
      <alignment horizontal="justify" vertical="center"/>
    </xf>
    <xf numFmtId="2" fontId="1" fillId="0" borderId="12" xfId="0" applyNumberFormat="1" applyFont="1" applyBorder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2" fontId="1" fillId="0" borderId="11" xfId="0" applyNumberFormat="1" applyFont="1" applyBorder="1" applyAlignment="1">
      <alignment horizontal="center" vertical="center"/>
    </xf>
    <xf numFmtId="1" fontId="1" fillId="0" borderId="12" xfId="0" applyNumberFormat="1" applyFont="1" applyBorder="1" applyAlignment="1">
      <alignment horizontal="center" vertical="center"/>
    </xf>
    <xf numFmtId="1" fontId="1" fillId="0" borderId="5" xfId="0" applyNumberFormat="1" applyFont="1" applyBorder="1" applyAlignment="1">
      <alignment horizontal="center" vertical="center"/>
    </xf>
    <xf numFmtId="1" fontId="1" fillId="0" borderId="11" xfId="0" applyNumberFormat="1" applyFont="1" applyBorder="1" applyAlignment="1">
      <alignment horizontal="center" vertical="center"/>
    </xf>
    <xf numFmtId="49" fontId="4" fillId="2" borderId="10" xfId="0" applyNumberFormat="1" applyFont="1" applyFill="1" applyBorder="1" applyAlignment="1">
      <alignment horizontal="justify" vertical="center"/>
    </xf>
    <xf numFmtId="1" fontId="4" fillId="2" borderId="10" xfId="0" applyNumberFormat="1" applyFont="1" applyFill="1" applyBorder="1" applyAlignment="1">
      <alignment horizontal="justify" vertical="center"/>
    </xf>
    <xf numFmtId="1" fontId="4" fillId="2" borderId="1" xfId="0" applyNumberFormat="1" applyFont="1" applyFill="1" applyBorder="1" applyAlignment="1">
      <alignment horizontal="justify" vertical="center"/>
    </xf>
    <xf numFmtId="1" fontId="3" fillId="0" borderId="12" xfId="0" applyNumberFormat="1" applyFont="1" applyFill="1" applyBorder="1" applyAlignment="1">
      <alignment horizontal="center" vertical="center"/>
    </xf>
    <xf numFmtId="1" fontId="3" fillId="0" borderId="5" xfId="0" applyNumberFormat="1" applyFont="1" applyFill="1" applyBorder="1" applyAlignment="1">
      <alignment horizontal="center" vertical="center"/>
    </xf>
    <xf numFmtId="1" fontId="3" fillId="0" borderId="1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2" fillId="2" borderId="9" xfId="0" applyNumberFormat="1" applyFont="1" applyFill="1" applyBorder="1" applyAlignment="1">
      <alignment horizontal="center" vertical="center"/>
    </xf>
    <xf numFmtId="1" fontId="2" fillId="2" borderId="17" xfId="0" applyNumberFormat="1" applyFont="1" applyFill="1" applyBorder="1" applyAlignment="1">
      <alignment horizontal="center" vertical="center"/>
    </xf>
    <xf numFmtId="2" fontId="1" fillId="0" borderId="0" xfId="0" applyNumberFormat="1" applyFont="1" applyBorder="1" applyAlignment="1">
      <alignment horizontal="justify" vertical="center"/>
    </xf>
    <xf numFmtId="2" fontId="1" fillId="0" borderId="0" xfId="0" applyNumberFormat="1" applyFont="1" applyBorder="1" applyAlignment="1">
      <alignment horizontal="justify" vertical="center" wrapText="1"/>
    </xf>
    <xf numFmtId="0" fontId="5" fillId="0" borderId="0" xfId="0" applyFont="1"/>
    <xf numFmtId="0" fontId="0" fillId="0" borderId="0" xfId="0" applyAlignment="1">
      <alignment horizontal="center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0" fontId="7" fillId="0" borderId="0" xfId="0" applyFont="1" applyAlignment="1">
      <alignment horizontal="center"/>
    </xf>
    <xf numFmtId="164" fontId="0" fillId="0" borderId="0" xfId="0" applyNumberFormat="1" applyAlignment="1">
      <alignment horizontal="right"/>
    </xf>
    <xf numFmtId="0" fontId="0" fillId="0" borderId="0" xfId="0" applyFont="1"/>
    <xf numFmtId="164" fontId="0" fillId="0" borderId="0" xfId="0" applyNumberFormat="1" applyAlignment="1"/>
    <xf numFmtId="0" fontId="0" fillId="0" borderId="0" xfId="0" applyNumberFormat="1"/>
    <xf numFmtId="164" fontId="0" fillId="0" borderId="0" xfId="0" applyNumberFormat="1"/>
    <xf numFmtId="1" fontId="0" fillId="0" borderId="0" xfId="0" applyNumberFormat="1" applyAlignment="1">
      <alignment horizontal="center"/>
    </xf>
    <xf numFmtId="1" fontId="2" fillId="2" borderId="8" xfId="0" applyNumberFormat="1" applyFont="1" applyFill="1" applyBorder="1" applyAlignment="1">
      <alignment horizontal="center" vertical="center"/>
    </xf>
    <xf numFmtId="1" fontId="2" fillId="2" borderId="9" xfId="0" applyNumberFormat="1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1" fontId="2" fillId="2" borderId="16" xfId="0" applyNumberFormat="1" applyFont="1" applyFill="1" applyBorder="1" applyAlignment="1">
      <alignment horizontal="center" vertical="center"/>
    </xf>
    <xf numFmtId="1" fontId="2" fillId="2" borderId="0" xfId="0" applyNumberFormat="1" applyFont="1" applyFill="1" applyBorder="1" applyAlignment="1">
      <alignment horizontal="center" vertical="center"/>
    </xf>
    <xf numFmtId="1" fontId="2" fillId="2" borderId="1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9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justify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justify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1" indent="0" justifyLastLine="0" shrinkToFit="0" readingOrder="0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7">
    <xsd:schema xmlns:xsd="http://www.w3.org/2001/XMLSchema" xmlns="">
      <xsd:element nillable="true" name="Attacks">
        <xsd:complexType>
          <xsd:sequence minOccurs="0">
            <xsd:element minOccurs="0" maxOccurs="unbounded" nillable="true" name="Attack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double" name="HP_Damage" form="unqualified"/>
                  <xsd:element minOccurs="0" nillable="true" type="xsd:double" name="Hit_Probability" form="unqualified"/>
                  <xsd:element minOccurs="0" nillable="true" type="xsd:string" name="Effect" form="unqualified"/>
                  <xsd:element minOccurs="0" nillable="true" type="xsd:double" name="x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Monsters">
        <xsd:complexType>
          <xsd:sequence minOccurs="0">
            <xsd:element minOccurs="0" maxOccurs="unbounded" nillable="true" name="Monster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Level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HP" form="unqualified"/>
                  <xsd:element minOccurs="0" nillable="true" type="xsd:integer" name="Strength" form="unqualified"/>
                  <xsd:element minOccurs="0" nillable="true" type="xsd:integer" name="Speed" form="unqualified"/>
                  <xsd:element minOccurs="0" nillable="true" type="xsd:integer" name="Accuracy" form="unqualified"/>
                  <xsd:element minOccurs="0" nillable="true" type="xsd:string" name="Kill_Bonus_Type" form="unqualified"/>
                  <xsd:element minOccurs="0" nillable="true" type="xsd:integer" name="Kill_Bonus_Low" form="unqualified"/>
                  <xsd:element minOccurs="0" nillable="true" type="xsd:integer" name="Kill_Bonus_High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Armaments">
        <xsd:complexType>
          <xsd:sequence minOccurs="0">
            <xsd:element minOccurs="0" maxOccurs="unbounded" nillable="true" name="Armament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Armor" form="unqualified"/>
                  <xsd:element minOccurs="0" nillable="true" type="xsd:integer" name="Speed" form="unqualified"/>
                  <xsd:element minOccurs="0" nillable="true" type="xsd:string" name="Type" form="unqualified"/>
                  <xsd:element minOccurs="0" nillable="true" type="xsd:double" name="Bonus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Potions">
        <xsd:complexType>
          <xsd:sequence minOccurs="0">
            <xsd:element minOccurs="0" maxOccurs="unbounded" nillable="true" name="Potion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string" name="Description" form="unqualified"/>
                  <xsd:element minOccurs="0" nillable="true" type="xsd:string" name="Target" form="unqualified"/>
                  <xsd:element minOccurs="0" nillable="true" type="xsd:string" name="Effect" form="unqualified"/>
                  <xsd:element minOccurs="0" nillable="true" type="xsd:string" name="Mode" form="unqualified"/>
                  <xsd:element minOccurs="0" nillable="true" type="xsd:integer" name="x" form="unqualified"/>
                  <xsd:element minOccurs="0" nillable="true" type="xsd:integer" name="n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Weapons">
        <xsd:complexType>
          <xsd:sequence minOccurs="0">
            <xsd:element minOccurs="0" maxOccurs="unbounded" nillable="true" name="Weapon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Attack" form="unqualified"/>
                  <xsd:element minOccurs="0" nillable="true" type="xsd:integer" name="Speed" form="unqualified"/>
                  <xsd:element minOccurs="0" nillable="true" type="xsd:integer" name="Accuracy" form="unqualified"/>
                  <xsd:element minOccurs="0" nillable="true" type="xsd:integer" name="Defence" form="unqualified"/>
                  <xsd:element minOccurs="0" nillable="true" type="xsd:integer" name="Slots" form="unqualified"/>
                  <xsd:element minOccurs="0" nillable="true" type="xsd:integer" name="Max" form="unqualified"/>
                  <xsd:element minOccurs="0" nillable="true" type="xsd:string" name="Type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Rooms">
        <xsd:complexType>
          <xsd:sequence minOccurs="0">
            <xsd:element minOccurs="0" maxOccurs="unbounded" nillable="true" name="Room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Description" form="unqualified"/>
                  <xsd:element minOccurs="0" nillable="true" name="Door_Positions" form="unqualified">
                    <xsd:complexType>
                      <xsd:sequence minOccurs="0">
                        <xsd:element minOccurs="0" nillable="true" type="xsd:integer" name="N" form="unqualified"/>
                        <xsd:element minOccurs="0" nillable="true" type="xsd:integer" name="E" form="unqualified"/>
                        <xsd:element minOccurs="0" nillable="true" type="xsd:integer" name="S" form="unqualified"/>
                        <xsd:element minOccurs="0" nillable="true" type="xsd:integer" name="W" form="unqualified"/>
                      </xsd:sequence>
                    </xsd:complexType>
                  </xsd:element>
                  <xsd:element minOccurs="0" nillable="true" name="Monster" form="unqualified">
                    <xsd:complexType>
                      <xsd:sequence minOccurs="0">
                        <xsd:element minOccurs="0" nillable="true" type="xsd:integer" name="no" form="unqualified"/>
                        <xsd:element minOccurs="0" nillable="true" type="xsd:integer" name="easy" form="unqualified"/>
                        <xsd:element minOccurs="0" nillable="true" type="xsd:integer" name="normal" form="unqualified"/>
                        <xsd:element minOccurs="0" nillable="true" type="xsd:integer" name="hard" form="unqualified"/>
                      </xsd:sequence>
                    </xsd:complexType>
                  </xsd:element>
                  <xsd:element minOccurs="0" nillable="true" type="xsd:integer" name="Monster_Count" form="unqualified"/>
                  <xsd:element minOccurs="0" nillable="true" type="xsd:double" name="Item_Multiplier" form="unqualified"/>
                  <xsd:element minOccurs="0" nillable="true" name="Find_Probabilities" form="unqualified">
                    <xsd:complexType>
                      <xsd:sequence minOccurs="0">
                        <xsd:element minOccurs="0" nillable="true" type="xsd:integer" name="none" form="unqualified"/>
                        <xsd:element minOccurs="0" nillable="true" type="xsd:integer" name="weak" form="unqualified"/>
                        <xsd:element minOccurs="0" nillable="true" type="xsd:integer" name="medium" form="unqualified"/>
                        <xsd:element minOccurs="0" nillable="true" type="xsd:integer" name="strong" form="unqualified"/>
                      </xsd:sequence>
                    </xsd:complexType>
                  </xsd:element>
                  <xsd:element minOccurs="0" nillable="true" type="xsd:integer" name="Item_Count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Map ID="74" Name="Armaments_Map" RootElement="Armaments" SchemaID="Schema13" ShowImportExportValidationErrors="false" AutoFit="true" Append="false" PreserveSortAFLayout="true" PreserveFormat="true">
    <DataBinding FileBinding="true" ConnectionID="3" DataBindingLoadMode="1"/>
  </Map>
  <Map ID="68" Name="Attacks_Map" RootElement="Attacks" SchemaID="Schema7" ShowImportExportValidationErrors="false" AutoFit="true" Append="false" PreserveSortAFLayout="true" PreserveFormat="true">
    <DataBinding FileBinding="true" ConnectionID="18" DataBindingLoadMode="1"/>
  </Map>
  <Map ID="71" Name="Monsters_Map" RootElement="Monsters" SchemaID="Schema10" ShowImportExportValidationErrors="false" AutoFit="true" Append="false" PreserveSortAFLayout="true" PreserveFormat="true">
    <DataBinding FileBinding="true" ConnectionID="21" DataBindingLoadMode="1"/>
  </Map>
  <Map ID="75" Name="Potions_Map" RootElement="Potions" SchemaID="Schema14" ShowImportExportValidationErrors="false" AutoFit="true" Append="false" PreserveSortAFLayout="true" PreserveFormat="true">
    <DataBinding FileBinding="true" ConnectionID="32" DataBindingLoadMode="1"/>
  </Map>
  <Map ID="80" Name="Rooms_Map" RootElement="Rooms" SchemaID="Schema8" ShowImportExportValidationErrors="false" AutoFit="true" Append="false" PreserveSortAFLayout="true" PreserveFormat="true">
    <DataBinding FileBinding="true" ConnectionID="50" DataBindingLoadMode="1"/>
  </Map>
  <Map ID="76" Name="Weapons_Map" RootElement="Weapons" SchemaID="Schema15" ShowImportExportValidationErrors="false" AutoFit="true" Append="false" PreserveSortAFLayout="true" PreserveFormat="true">
    <DataBinding FileBinding="true" ConnectionID="5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Radio" firstButton="1" lockText="1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checked="Checked" lockText="1" noThreeD="1"/>
</file>

<file path=xl/ctrlProps/ctrlProp30.xml><?xml version="1.0" encoding="utf-8"?>
<formControlPr xmlns="http://schemas.microsoft.com/office/spreadsheetml/2009/9/main" objectType="Radio" checked="Checked" lockText="1" noThreeD="1"/>
</file>

<file path=xl/ctrlProps/ctrlProp31.xml><?xml version="1.0" encoding="utf-8"?>
<formControlPr xmlns="http://schemas.microsoft.com/office/spreadsheetml/2009/9/main" objectType="Radio" checked="Checked" lockText="1" noThreeD="1"/>
</file>

<file path=xl/ctrlProps/ctrlProp32.xml><?xml version="1.0" encoding="utf-8"?>
<formControlPr xmlns="http://schemas.microsoft.com/office/spreadsheetml/2009/9/main" objectType="Radio" checked="Checked" lockText="1" noThreeD="1"/>
</file>

<file path=xl/ctrlProps/ctrlProp33.xml><?xml version="1.0" encoding="utf-8"?>
<formControlPr xmlns="http://schemas.microsoft.com/office/spreadsheetml/2009/9/main" objectType="Radio" checked="Checked" lockText="1" noThreeD="1"/>
</file>

<file path=xl/ctrlProps/ctrlProp34.xml><?xml version="1.0" encoding="utf-8"?>
<formControlPr xmlns="http://schemas.microsoft.com/office/spreadsheetml/2009/9/main" objectType="Radio" checked="Checked" firstButton="1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Radio" lockText="1" noThreeD="1"/>
</file>

<file path=xl/ctrlProps/ctrlProp42.xml><?xml version="1.0" encoding="utf-8"?>
<formControlPr xmlns="http://schemas.microsoft.com/office/spreadsheetml/2009/9/main" objectType="Radio" checked="Checked" firstButton="1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Radio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GBox" noThreeD="1"/>
</file>

<file path=xl/ctrlProps/ctrlProp52.xml><?xml version="1.0" encoding="utf-8"?>
<formControlPr xmlns="http://schemas.microsoft.com/office/spreadsheetml/2009/9/main" objectType="GBox" noThreeD="1"/>
</file>

<file path=xl/ctrlProps/ctrlProp53.xml><?xml version="1.0" encoding="utf-8"?>
<formControlPr xmlns="http://schemas.microsoft.com/office/spreadsheetml/2009/9/main" objectType="GBox" noThreeD="1"/>
</file>

<file path=xl/ctrlProps/ctrlProp54.xml><?xml version="1.0" encoding="utf-8"?>
<formControlPr xmlns="http://schemas.microsoft.com/office/spreadsheetml/2009/9/main" objectType="GBox" noThreeD="1"/>
</file>

<file path=xl/ctrlProps/ctrlProp55.xml><?xml version="1.0" encoding="utf-8"?>
<formControlPr xmlns="http://schemas.microsoft.com/office/spreadsheetml/2009/9/main" objectType="GBox" noThreeD="1"/>
</file>

<file path=xl/ctrlProps/ctrlProp56.xml><?xml version="1.0" encoding="utf-8"?>
<formControlPr xmlns="http://schemas.microsoft.com/office/spreadsheetml/2009/9/main" objectType="GBox" noThreeD="1"/>
</file>

<file path=xl/ctrlProps/ctrlProp57.xml><?xml version="1.0" encoding="utf-8"?>
<formControlPr xmlns="http://schemas.microsoft.com/office/spreadsheetml/2009/9/main" objectType="GBox" noThreeD="1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Radio" checked="Checked" firstButton="1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GBox" noThreeD="1"/>
</file>

<file path=xl/ctrlProps/ctrlProp68.xml><?xml version="1.0" encoding="utf-8"?>
<formControlPr xmlns="http://schemas.microsoft.com/office/spreadsheetml/2009/9/main" objectType="Radio" checked="Checked" firstButton="1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lockText="1" noThreeD="1"/>
</file>

<file path=xl/ctrlProps/ctrlProp73.xml><?xml version="1.0" encoding="utf-8"?>
<formControlPr xmlns="http://schemas.microsoft.com/office/spreadsheetml/2009/9/main" objectType="Radio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GBox" noThreeD="1"/>
</file>

<file path=xl/ctrlProps/ctrlProp77.xml><?xml version="1.0" encoding="utf-8"?>
<formControlPr xmlns="http://schemas.microsoft.com/office/spreadsheetml/2009/9/main" objectType="Radio" checked="Checked" firstButton="1" lockText="1" noThreeD="1"/>
</file>

<file path=xl/ctrlProps/ctrlProp78.xml><?xml version="1.0" encoding="utf-8"?>
<formControlPr xmlns="http://schemas.microsoft.com/office/spreadsheetml/2009/9/main" objectType="Radio" checked="Checked" firstButton="1" lockText="1" noThreeD="1"/>
</file>

<file path=xl/ctrlProps/ctrlProp79.xml><?xml version="1.0" encoding="utf-8"?>
<formControlPr xmlns="http://schemas.microsoft.com/office/spreadsheetml/2009/9/main" objectType="Radio" checked="Checked" firstButton="1" lockText="1" noThreeD="1"/>
</file>

<file path=xl/ctrlProps/ctrlProp80.xml><?xml version="1.0" encoding="utf-8"?>
<formControlPr xmlns="http://schemas.microsoft.com/office/spreadsheetml/2009/9/main" objectType="Radio" checked="Checked" firstButton="1" lockText="1" noThreeD="1"/>
</file>

<file path=xl/ctrlProps/ctrlProp81.xml><?xml version="1.0" encoding="utf-8"?>
<formControlPr xmlns="http://schemas.microsoft.com/office/spreadsheetml/2009/9/main" objectType="Radio" checked="Checked" firstButton="1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Radio" lockText="1" noThreeD="1"/>
</file>

<file path=xl/ctrlProps/ctrlProp91.xml><?xml version="1.0" encoding="utf-8"?>
<formControlPr xmlns="http://schemas.microsoft.com/office/spreadsheetml/2009/9/main" objectType="Radio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GBox" noThreeD="1"/>
</file>

<file path=xl/ctrlProps/ctrlProp98.xml><?xml version="1.0" encoding="utf-8"?>
<formControlPr xmlns="http://schemas.microsoft.com/office/spreadsheetml/2009/9/main" objectType="GBox" noThreeD="1"/>
</file>

<file path=xl/ctrlProps/ctrlProp99.xml><?xml version="1.0" encoding="utf-8"?>
<formControlPr xmlns="http://schemas.microsoft.com/office/spreadsheetml/2009/9/main" objectType="GBox" noThreeD="1"/>
</file>

<file path=xl/ctrlProps/ctrlProp100.xml><?xml version="1.0" encoding="utf-8"?>
<formControlPr xmlns="http://schemas.microsoft.com/office/spreadsheetml/2009/9/main" objectType="GBox" noThreeD="1"/>
</file>

<file path=xl/ctrlProps/ctrlProp101.xml><?xml version="1.0" encoding="utf-8"?>
<formControlPr xmlns="http://schemas.microsoft.com/office/spreadsheetml/2009/9/main" objectType="GBox" noThreeD="1"/>
</file>

<file path=xl/ctrlProps/ctrlProp102.xml><?xml version="1.0" encoding="utf-8"?>
<formControlPr xmlns="http://schemas.microsoft.com/office/spreadsheetml/2009/9/main" objectType="GBox" noThreeD="1"/>
</file>

<file path=xl/ctrlProps/ctrlProp103.xml><?xml version="1.0" encoding="utf-8"?>
<formControlPr xmlns="http://schemas.microsoft.com/office/spreadsheetml/2009/9/main" objectType="Radio" checked="Checked" firstButton="1" lockText="1" noThreeD="1"/>
</file>

<file path=xl/ctrlProps/ctrlProp104.xml><?xml version="1.0" encoding="utf-8"?>
<formControlPr xmlns="http://schemas.microsoft.com/office/spreadsheetml/2009/9/main" objectType="Radio" lockText="1" noThreeD="1"/>
</file>

<file path=xl/ctrlProps/ctrlProp105.xml><?xml version="1.0" encoding="utf-8"?>
<formControlPr xmlns="http://schemas.microsoft.com/office/spreadsheetml/2009/9/main" objectType="Radio" firstButton="1" lockText="1" noThreeD="1"/>
</file>

<file path=xl/ctrlProps/ctrlProp106.xml><?xml version="1.0" encoding="utf-8"?>
<formControlPr xmlns="http://schemas.microsoft.com/office/spreadsheetml/2009/9/main" objectType="Radio" checked="Checked" lockText="1" noThreeD="1"/>
</file>

<file path=xl/ctrlProps/ctrlProp107.xml><?xml version="1.0" encoding="utf-8"?>
<formControlPr xmlns="http://schemas.microsoft.com/office/spreadsheetml/2009/9/main" objectType="Radio" lockText="1" noThreeD="1"/>
</file>

<file path=xl/ctrlProps/ctrlProp108.xml><?xml version="1.0" encoding="utf-8"?>
<formControlPr xmlns="http://schemas.microsoft.com/office/spreadsheetml/2009/9/main" objectType="Radio" lockText="1" noThreeD="1"/>
</file>

<file path=xl/ctrlProps/ctrlProp109.xml><?xml version="1.0" encoding="utf-8"?>
<formControlPr xmlns="http://schemas.microsoft.com/office/spreadsheetml/2009/9/main" objectType="GBox" noThreeD="1"/>
</file>

<file path=xl/ctrlProps/ctrlProp110.xml><?xml version="1.0" encoding="utf-8"?>
<formControlPr xmlns="http://schemas.microsoft.com/office/spreadsheetml/2009/9/main" objectType="GBox" noThreeD="1"/>
</file>

<file path=xl/ctrlProps/ctrlProp111.xml><?xml version="1.0" encoding="utf-8"?>
<formControlPr xmlns="http://schemas.microsoft.com/office/spreadsheetml/2009/9/main" objectType="Radio" checked="Checked" firstButton="1" lockText="1" noThreeD="1"/>
</file>

<file path=xl/ctrlProps/ctrlProp112.xml><?xml version="1.0" encoding="utf-8"?>
<formControlPr xmlns="http://schemas.microsoft.com/office/spreadsheetml/2009/9/main" objectType="Radio" lockText="1" noThreeD="1"/>
</file>

<file path=xl/ctrlProps/ctrlProp113.xml><?xml version="1.0" encoding="utf-8"?>
<formControlPr xmlns="http://schemas.microsoft.com/office/spreadsheetml/2009/9/main" objectType="Radio" lockText="1" noThreeD="1"/>
</file>

<file path=xl/ctrlProps/ctrlProp114.xml><?xml version="1.0" encoding="utf-8"?>
<formControlPr xmlns="http://schemas.microsoft.com/office/spreadsheetml/2009/9/main" objectType="Radio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Radio" lockText="1" noThreeD="1"/>
</file>

<file path=xl/ctrlProps/ctrlProp117.xml><?xml version="1.0" encoding="utf-8"?>
<formControlPr xmlns="http://schemas.microsoft.com/office/spreadsheetml/2009/9/main" objectType="Radio" lockText="1" noThreeD="1"/>
</file>

<file path=xl/ctrlProps/ctrlProp118.xml><?xml version="1.0" encoding="utf-8"?>
<formControlPr xmlns="http://schemas.microsoft.com/office/spreadsheetml/2009/9/main" objectType="Radio" lockText="1" noThreeD="1"/>
</file>

<file path=xl/ctrlProps/ctrlProp119.xml><?xml version="1.0" encoding="utf-8"?>
<formControlPr xmlns="http://schemas.microsoft.com/office/spreadsheetml/2009/9/main" objectType="Radio" lockText="1" noThreeD="1"/>
</file>

<file path=xl/ctrlProps/ctrlProp120.xml><?xml version="1.0" encoding="utf-8"?>
<formControlPr xmlns="http://schemas.microsoft.com/office/spreadsheetml/2009/9/main" objectType="GBox" noThreeD="1"/>
</file>

<file path=xl/ctrlProps/ctrlProp121.xml><?xml version="1.0" encoding="utf-8"?>
<formControlPr xmlns="http://schemas.microsoft.com/office/spreadsheetml/2009/9/main" objectType="Radio" checked="Checked" firstButton="1" lockText="1" noThreeD="1"/>
</file>

<file path=xl/ctrlProps/ctrlProp122.xml><?xml version="1.0" encoding="utf-8"?>
<formControlPr xmlns="http://schemas.microsoft.com/office/spreadsheetml/2009/9/main" objectType="Radio" lockText="1" noThreeD="1"/>
</file>

<file path=xl/ctrlProps/ctrlProp123.xml><?xml version="1.0" encoding="utf-8"?>
<formControlPr xmlns="http://schemas.microsoft.com/office/spreadsheetml/2009/9/main" objectType="Radio" lockText="1" noThreeD="1"/>
</file>

<file path=xl/ctrlProps/ctrlProp124.xml><?xml version="1.0" encoding="utf-8"?>
<formControlPr xmlns="http://schemas.microsoft.com/office/spreadsheetml/2009/9/main" objectType="Radio" lockText="1" noThreeD="1"/>
</file>

<file path=xl/ctrlProps/ctrlProp125.xml><?xml version="1.0" encoding="utf-8"?>
<formControlPr xmlns="http://schemas.microsoft.com/office/spreadsheetml/2009/9/main" objectType="Radio" lockText="1" noThreeD="1"/>
</file>

<file path=xl/ctrlProps/ctrlProp126.xml><?xml version="1.0" encoding="utf-8"?>
<formControlPr xmlns="http://schemas.microsoft.com/office/spreadsheetml/2009/9/main" objectType="Radio" lockText="1" noThreeD="1"/>
</file>

<file path=xl/ctrlProps/ctrlProp127.xml><?xml version="1.0" encoding="utf-8"?>
<formControlPr xmlns="http://schemas.microsoft.com/office/spreadsheetml/2009/9/main" objectType="Radio" lockText="1" noThreeD="1"/>
</file>

<file path=xl/ctrlProps/ctrlProp128.xml><?xml version="1.0" encoding="utf-8"?>
<formControlPr xmlns="http://schemas.microsoft.com/office/spreadsheetml/2009/9/main" objectType="Radio" lockText="1" noThreeD="1"/>
</file>

<file path=xl/ctrlProps/ctrlProp129.xml><?xml version="1.0" encoding="utf-8"?>
<formControlPr xmlns="http://schemas.microsoft.com/office/spreadsheetml/2009/9/main" objectType="Radio" lockText="1" noThreeD="1"/>
</file>

<file path=xl/ctrlProps/ctrlProp130.xml><?xml version="1.0" encoding="utf-8"?>
<formControlPr xmlns="http://schemas.microsoft.com/office/spreadsheetml/2009/9/main" objectType="G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485775</xdr:colOff>
          <xdr:row>38</xdr:row>
          <xdr:rowOff>9524</xdr:rowOff>
        </xdr:from>
        <xdr:to>
          <xdr:col>21</xdr:col>
          <xdr:colOff>533400</xdr:colOff>
          <xdr:row>39</xdr:row>
          <xdr:rowOff>95250</xdr:rowOff>
        </xdr:to>
        <xdr:grpSp>
          <xdr:nvGrpSpPr>
            <xdr:cNvPr id="147" name="PotionGroup2"/>
            <xdr:cNvGrpSpPr/>
          </xdr:nvGrpSpPr>
          <xdr:grpSpPr>
            <a:xfrm>
              <a:off x="8839200" y="7258049"/>
              <a:ext cx="8458200" cy="276226"/>
              <a:chOff x="401964" y="7172324"/>
              <a:chExt cx="7608562" cy="219075"/>
            </a:xfrm>
          </xdr:grpSpPr>
          <xdr:sp macro="" textlink="">
            <xdr:nvSpPr>
              <xdr:cNvPr id="9382" name="InstantCure2" hidden="1">
                <a:extLst>
                  <a:ext uri="{63B3BB69-23CF-44E3-9099-C40C66FF867C}">
                    <a14:compatExt spid="_x0000_s9382"/>
                  </a:ext>
                </a:extLst>
              </xdr:cNvPr>
              <xdr:cNvSpPr/>
            </xdr:nvSpPr>
            <xdr:spPr>
              <a:xfrm>
                <a:off x="401964" y="7177086"/>
                <a:ext cx="80962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Instant Cure</a:t>
                </a:r>
              </a:p>
            </xdr:txBody>
          </xdr:sp>
          <xdr:sp macro="" textlink="">
            <xdr:nvSpPr>
              <xdr:cNvPr id="9383" name="Regeneration2" hidden="1">
                <a:extLst>
                  <a:ext uri="{63B3BB69-23CF-44E3-9099-C40C66FF867C}">
                    <a14:compatExt spid="_x0000_s9383"/>
                  </a:ext>
                </a:extLst>
              </xdr:cNvPr>
              <xdr:cNvSpPr/>
            </xdr:nvSpPr>
            <xdr:spPr>
              <a:xfrm>
                <a:off x="1404938" y="7172324"/>
                <a:ext cx="86677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Regeneration</a:t>
                </a:r>
              </a:p>
            </xdr:txBody>
          </xdr:sp>
          <xdr:sp macro="" textlink="">
            <xdr:nvSpPr>
              <xdr:cNvPr id="9384" name="Strength2" hidden="1">
                <a:extLst>
                  <a:ext uri="{63B3BB69-23CF-44E3-9099-C40C66FF867C}">
                    <a14:compatExt spid="_x0000_s9384"/>
                  </a:ext>
                </a:extLst>
              </xdr:cNvPr>
              <xdr:cNvSpPr/>
            </xdr:nvSpPr>
            <xdr:spPr>
              <a:xfrm>
                <a:off x="2447926" y="7177086"/>
                <a:ext cx="6381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Strength</a:t>
                </a:r>
              </a:p>
            </xdr:txBody>
          </xdr:sp>
          <xdr:sp macro="" textlink="">
            <xdr:nvSpPr>
              <xdr:cNvPr id="9385" name="Speed2" hidden="1">
                <a:extLst>
                  <a:ext uri="{63B3BB69-23CF-44E3-9099-C40C66FF867C}">
                    <a14:compatExt spid="_x0000_s9385"/>
                  </a:ext>
                </a:extLst>
              </xdr:cNvPr>
              <xdr:cNvSpPr/>
            </xdr:nvSpPr>
            <xdr:spPr>
              <a:xfrm>
                <a:off x="3262314" y="7181849"/>
                <a:ext cx="542925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Speed</a:t>
                </a:r>
              </a:p>
            </xdr:txBody>
          </xdr:sp>
          <xdr:sp macro="" textlink="">
            <xdr:nvSpPr>
              <xdr:cNvPr id="9386" name="Accuracy2" hidden="1">
                <a:extLst>
                  <a:ext uri="{63B3BB69-23CF-44E3-9099-C40C66FF867C}">
                    <a14:compatExt spid="_x0000_s9386"/>
                  </a:ext>
                </a:extLst>
              </xdr:cNvPr>
              <xdr:cNvSpPr/>
            </xdr:nvSpPr>
            <xdr:spPr>
              <a:xfrm>
                <a:off x="3981452" y="7172324"/>
                <a:ext cx="6667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Accuracy</a:t>
                </a:r>
              </a:p>
            </xdr:txBody>
          </xdr:sp>
          <xdr:sp macro="" textlink="">
            <xdr:nvSpPr>
              <xdr:cNvPr id="9387" name="Blindness2" hidden="1">
                <a:extLst>
                  <a:ext uri="{63B3BB69-23CF-44E3-9099-C40C66FF867C}">
                    <a14:compatExt spid="_x0000_s9387"/>
                  </a:ext>
                </a:extLst>
              </xdr:cNvPr>
              <xdr:cNvSpPr/>
            </xdr:nvSpPr>
            <xdr:spPr>
              <a:xfrm>
                <a:off x="4824415" y="7181849"/>
                <a:ext cx="685800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Blindness</a:t>
                </a:r>
              </a:p>
            </xdr:txBody>
          </xdr:sp>
          <xdr:sp macro="" textlink="">
            <xdr:nvSpPr>
              <xdr:cNvPr id="9388" name="Slowness2" hidden="1">
                <a:extLst>
                  <a:ext uri="{63B3BB69-23CF-44E3-9099-C40C66FF867C}">
                    <a14:compatExt spid="_x0000_s9388"/>
                  </a:ext>
                </a:extLst>
              </xdr:cNvPr>
              <xdr:cNvSpPr/>
            </xdr:nvSpPr>
            <xdr:spPr>
              <a:xfrm>
                <a:off x="5686428" y="7172324"/>
                <a:ext cx="69532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Slowness</a:t>
                </a:r>
              </a:p>
            </xdr:txBody>
          </xdr:sp>
          <xdr:sp macro="" textlink="">
            <xdr:nvSpPr>
              <xdr:cNvPr id="9389" name="Poison2" hidden="1">
                <a:extLst>
                  <a:ext uri="{63B3BB69-23CF-44E3-9099-C40C66FF867C}">
                    <a14:compatExt spid="_x0000_s9389"/>
                  </a:ext>
                </a:extLst>
              </xdr:cNvPr>
              <xdr:cNvSpPr/>
            </xdr:nvSpPr>
            <xdr:spPr>
              <a:xfrm>
                <a:off x="7477126" y="7172324"/>
                <a:ext cx="533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Poison</a:t>
                </a:r>
              </a:p>
            </xdr:txBody>
          </xdr:sp>
          <xdr:sp macro="" textlink="">
            <xdr:nvSpPr>
              <xdr:cNvPr id="9390" name="Weakness2" hidden="1">
                <a:extLst>
                  <a:ext uri="{63B3BB69-23CF-44E3-9099-C40C66FF867C}">
                    <a14:compatExt spid="_x0000_s9390"/>
                  </a:ext>
                </a:extLst>
              </xdr:cNvPr>
              <xdr:cNvSpPr/>
            </xdr:nvSpPr>
            <xdr:spPr>
              <a:xfrm>
                <a:off x="6557966" y="7177086"/>
                <a:ext cx="7429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Weakness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447675</xdr:colOff>
          <xdr:row>36</xdr:row>
          <xdr:rowOff>180975</xdr:rowOff>
        </xdr:from>
        <xdr:to>
          <xdr:col>22</xdr:col>
          <xdr:colOff>228600</xdr:colOff>
          <xdr:row>40</xdr:row>
          <xdr:rowOff>76200</xdr:rowOff>
        </xdr:to>
        <xdr:sp macro="" textlink="">
          <xdr:nvSpPr>
            <xdr:cNvPr id="9391" name="Potions2" hidden="1">
              <a:extLst>
                <a:ext uri="{63B3BB69-23CF-44E3-9099-C40C66FF867C}">
                  <a14:compatExt spid="_x0000_s9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Potions2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18</xdr:row>
          <xdr:rowOff>0</xdr:rowOff>
        </xdr:from>
        <xdr:to>
          <xdr:col>22</xdr:col>
          <xdr:colOff>295275</xdr:colOff>
          <xdr:row>41</xdr:row>
          <xdr:rowOff>0</xdr:rowOff>
        </xdr:to>
        <xdr:grpSp>
          <xdr:nvGrpSpPr>
            <xdr:cNvPr id="97" name="Player2"/>
            <xdr:cNvGrpSpPr/>
          </xdr:nvGrpSpPr>
          <xdr:grpSpPr>
            <a:xfrm>
              <a:off x="8524875" y="3438525"/>
              <a:ext cx="9144000" cy="4381500"/>
              <a:chOff x="161925" y="3429000"/>
              <a:chExt cx="7439025" cy="4381500"/>
            </a:xfrm>
          </xdr:grpSpPr>
          <xdr:grpSp>
            <xdr:nvGrpSpPr>
              <xdr:cNvPr id="99" name="Sub1"/>
              <xdr:cNvGrpSpPr/>
            </xdr:nvGrpSpPr>
            <xdr:grpSpPr>
              <a:xfrm>
                <a:off x="400051" y="6496049"/>
                <a:ext cx="4914897" cy="219075"/>
                <a:chOff x="200026" y="6086474"/>
                <a:chExt cx="4914897" cy="219075"/>
              </a:xfrm>
            </xdr:grpSpPr>
            <xdr:sp macro="" textlink="">
              <xdr:nvSpPr>
                <xdr:cNvPr id="9315" name="Fists2s" hidden="1">
                  <a:extLst>
                    <a:ext uri="{63B3BB69-23CF-44E3-9099-C40C66FF867C}">
                      <a14:compatExt spid="_x0000_s9315"/>
                    </a:ext>
                  </a:extLst>
                </xdr:cNvPr>
                <xdr:cNvSpPr/>
              </xdr:nvSpPr>
              <xdr:spPr>
                <a:xfrm>
                  <a:off x="200026" y="6091236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316" name="Dagger2s" hidden="1">
                  <a:extLst>
                    <a:ext uri="{63B3BB69-23CF-44E3-9099-C40C66FF867C}">
                      <a14:compatExt spid="_x0000_s9316"/>
                    </a:ext>
                  </a:extLst>
                </xdr:cNvPr>
                <xdr:cNvSpPr/>
              </xdr:nvSpPr>
              <xdr:spPr>
                <a:xfrm>
                  <a:off x="762001" y="6095999"/>
                  <a:ext cx="57150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317" name="Axt2s" hidden="1">
                  <a:extLst>
                    <a:ext uri="{63B3BB69-23CF-44E3-9099-C40C66FF867C}">
                      <a14:compatExt spid="_x0000_s9317"/>
                    </a:ext>
                  </a:extLst>
                </xdr:cNvPr>
                <xdr:cNvSpPr/>
              </xdr:nvSpPr>
              <xdr:spPr>
                <a:xfrm>
                  <a:off x="1438276" y="6086474"/>
                  <a:ext cx="4381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318" name="Sword2s" hidden="1">
                  <a:extLst>
                    <a:ext uri="{63B3BB69-23CF-44E3-9099-C40C66FF867C}">
                      <a14:compatExt spid="_x0000_s9318"/>
                    </a:ext>
                  </a:extLst>
                </xdr:cNvPr>
                <xdr:cNvSpPr/>
              </xdr:nvSpPr>
              <xdr:spPr>
                <a:xfrm>
                  <a:off x="1933575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319" name="Shield2s" hidden="1">
                  <a:extLst>
                    <a:ext uri="{63B3BB69-23CF-44E3-9099-C40C66FF867C}">
                      <a14:compatExt spid="_x0000_s9319"/>
                    </a:ext>
                  </a:extLst>
                </xdr:cNvPr>
                <xdr:cNvSpPr/>
              </xdr:nvSpPr>
              <xdr:spPr>
                <a:xfrm>
                  <a:off x="2514600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320" name="Sabre2s" hidden="1">
                  <a:extLst>
                    <a:ext uri="{63B3BB69-23CF-44E3-9099-C40C66FF867C}">
                      <a14:compatExt spid="_x0000_s9320"/>
                    </a:ext>
                  </a:extLst>
                </xdr:cNvPr>
                <xdr:cNvSpPr/>
              </xdr:nvSpPr>
              <xdr:spPr>
                <a:xfrm>
                  <a:off x="3143250" y="6091236"/>
                  <a:ext cx="5810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321" name="Longsword2s" hidden="1">
                  <a:extLst>
                    <a:ext uri="{63B3BB69-23CF-44E3-9099-C40C66FF867C}">
                      <a14:compatExt spid="_x0000_s9321"/>
                    </a:ext>
                  </a:extLst>
                </xdr:cNvPr>
                <xdr:cNvSpPr/>
              </xdr:nvSpPr>
              <xdr:spPr>
                <a:xfrm>
                  <a:off x="3752851" y="6095999"/>
                  <a:ext cx="81915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322" name="Bow2s" hidden="1">
                  <a:extLst>
                    <a:ext uri="{63B3BB69-23CF-44E3-9099-C40C66FF867C}">
                      <a14:compatExt spid="_x0000_s9322"/>
                    </a:ext>
                  </a:extLst>
                </xdr:cNvPr>
                <xdr:cNvSpPr/>
              </xdr:nvSpPr>
              <xdr:spPr>
                <a:xfrm>
                  <a:off x="4610098" y="6091236"/>
                  <a:ext cx="5048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23" name="SubWeapons2" hidden="1">
                <a:extLst>
                  <a:ext uri="{63B3BB69-23CF-44E3-9099-C40C66FF867C}">
                    <a14:compatExt spid="_x0000_s9323"/>
                  </a:ext>
                </a:extLst>
              </xdr:cNvPr>
              <xdr:cNvSpPr/>
            </xdr:nvSpPr>
            <xdr:spPr>
              <a:xfrm>
                <a:off x="381000" y="6296025"/>
                <a:ext cx="4981575" cy="6000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Sub Weapons</a:t>
                </a:r>
              </a:p>
            </xdr:txBody>
          </xdr:sp>
          <xdr:grpSp>
            <xdr:nvGrpSpPr>
              <xdr:cNvPr id="101" name="Main1"/>
              <xdr:cNvGrpSpPr/>
            </xdr:nvGrpSpPr>
            <xdr:grpSpPr>
              <a:xfrm>
                <a:off x="400050" y="5781674"/>
                <a:ext cx="4876800" cy="228600"/>
                <a:chOff x="200025" y="5419724"/>
                <a:chExt cx="4876800" cy="228600"/>
              </a:xfrm>
            </xdr:grpSpPr>
            <xdr:sp macro="" textlink="">
              <xdr:nvSpPr>
                <xdr:cNvPr id="9324" name="Fists2m" hidden="1">
                  <a:extLst>
                    <a:ext uri="{63B3BB69-23CF-44E3-9099-C40C66FF867C}">
                      <a14:compatExt spid="_x0000_s9324"/>
                    </a:ext>
                  </a:extLst>
                </xdr:cNvPr>
                <xdr:cNvSpPr/>
              </xdr:nvSpPr>
              <xdr:spPr>
                <a:xfrm>
                  <a:off x="200025" y="5424486"/>
                  <a:ext cx="466725" cy="219076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325" name="Dagger2m" hidden="1">
                  <a:extLst>
                    <a:ext uri="{63B3BB69-23CF-44E3-9099-C40C66FF867C}">
                      <a14:compatExt spid="_x0000_s9325"/>
                    </a:ext>
                  </a:extLst>
                </xdr:cNvPr>
                <xdr:cNvSpPr/>
              </xdr:nvSpPr>
              <xdr:spPr>
                <a:xfrm>
                  <a:off x="771525" y="5419724"/>
                  <a:ext cx="600075" cy="22860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326" name="Axt2m" hidden="1">
                  <a:extLst>
                    <a:ext uri="{63B3BB69-23CF-44E3-9099-C40C66FF867C}">
                      <a14:compatExt spid="_x0000_s9326"/>
                    </a:ext>
                  </a:extLst>
                </xdr:cNvPr>
                <xdr:cNvSpPr/>
              </xdr:nvSpPr>
              <xdr:spPr>
                <a:xfrm>
                  <a:off x="1409700" y="5429249"/>
                  <a:ext cx="48577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327" name="Sword2m" hidden="1">
                  <a:extLst>
                    <a:ext uri="{63B3BB69-23CF-44E3-9099-C40C66FF867C}">
                      <a14:compatExt spid="_x0000_s9327"/>
                    </a:ext>
                  </a:extLst>
                </xdr:cNvPr>
                <xdr:cNvSpPr/>
              </xdr:nvSpPr>
              <xdr:spPr>
                <a:xfrm>
                  <a:off x="1924051" y="5429249"/>
                  <a:ext cx="57150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328" name="Shield2m" hidden="1">
                  <a:extLst>
                    <a:ext uri="{63B3BB69-23CF-44E3-9099-C40C66FF867C}">
                      <a14:compatExt spid="_x0000_s9328"/>
                    </a:ext>
                  </a:extLst>
                </xdr:cNvPr>
                <xdr:cNvSpPr/>
              </xdr:nvSpPr>
              <xdr:spPr>
                <a:xfrm>
                  <a:off x="2524126" y="5429249"/>
                  <a:ext cx="55245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329" name="Sabre2m" hidden="1">
                  <a:extLst>
                    <a:ext uri="{63B3BB69-23CF-44E3-9099-C40C66FF867C}">
                      <a14:compatExt spid="_x0000_s9329"/>
                    </a:ext>
                  </a:extLst>
                </xdr:cNvPr>
                <xdr:cNvSpPr/>
              </xdr:nvSpPr>
              <xdr:spPr>
                <a:xfrm>
                  <a:off x="3152776" y="5424487"/>
                  <a:ext cx="5524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330" name="Longsword2m" hidden="1">
                  <a:extLst>
                    <a:ext uri="{63B3BB69-23CF-44E3-9099-C40C66FF867C}">
                      <a14:compatExt spid="_x0000_s9330"/>
                    </a:ext>
                  </a:extLst>
                </xdr:cNvPr>
                <xdr:cNvSpPr/>
              </xdr:nvSpPr>
              <xdr:spPr>
                <a:xfrm>
                  <a:off x="3762375" y="5434012"/>
                  <a:ext cx="771525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331" name="Bow2m" hidden="1">
                  <a:extLst>
                    <a:ext uri="{63B3BB69-23CF-44E3-9099-C40C66FF867C}">
                      <a14:compatExt spid="_x0000_s9331"/>
                    </a:ext>
                  </a:extLst>
                </xdr:cNvPr>
                <xdr:cNvSpPr/>
              </xdr:nvSpPr>
              <xdr:spPr>
                <a:xfrm>
                  <a:off x="4591050" y="5424487"/>
                  <a:ext cx="48577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32" name="MainWeapons2" hidden="1">
                <a:extLst>
                  <a:ext uri="{63B3BB69-23CF-44E3-9099-C40C66FF867C}">
                    <a14:compatExt spid="_x0000_s9332"/>
                  </a:ext>
                </a:extLst>
              </xdr:cNvPr>
              <xdr:cNvSpPr/>
            </xdr:nvSpPr>
            <xdr:spPr>
              <a:xfrm>
                <a:off x="371475" y="5600700"/>
                <a:ext cx="5000625" cy="5810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Main Weapons</a:t>
                </a:r>
              </a:p>
            </xdr:txBody>
          </xdr:sp>
          <xdr:grpSp>
            <xdr:nvGrpSpPr>
              <xdr:cNvPr id="103" name="no_Armament1"/>
              <xdr:cNvGrpSpPr/>
            </xdr:nvGrpSpPr>
            <xdr:grpSpPr>
              <a:xfrm>
                <a:off x="409574" y="5010149"/>
                <a:ext cx="6572253" cy="228601"/>
                <a:chOff x="209549" y="4733924"/>
                <a:chExt cx="5580554" cy="228601"/>
              </a:xfrm>
            </xdr:grpSpPr>
            <xdr:sp macro="" textlink="">
              <xdr:nvSpPr>
                <xdr:cNvPr id="9333" name="none12" hidden="1">
                  <a:extLst>
                    <a:ext uri="{63B3BB69-23CF-44E3-9099-C40C66FF867C}">
                      <a14:compatExt spid="_x0000_s9333"/>
                    </a:ext>
                  </a:extLst>
                </xdr:cNvPr>
                <xdr:cNvSpPr/>
              </xdr:nvSpPr>
              <xdr:spPr>
                <a:xfrm>
                  <a:off x="209549" y="475297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4" name="none22" hidden="1">
                  <a:extLst>
                    <a:ext uri="{63B3BB69-23CF-44E3-9099-C40C66FF867C}">
                      <a14:compatExt spid="_x0000_s9334"/>
                    </a:ext>
                  </a:extLst>
                </xdr:cNvPr>
                <xdr:cNvSpPr/>
              </xdr:nvSpPr>
              <xdr:spPr>
                <a:xfrm>
                  <a:off x="13906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5" name="none32" hidden="1">
                  <a:extLst>
                    <a:ext uri="{63B3BB69-23CF-44E3-9099-C40C66FF867C}">
                      <a14:compatExt spid="_x0000_s9335"/>
                    </a:ext>
                  </a:extLst>
                </xdr:cNvPr>
                <xdr:cNvSpPr/>
              </xdr:nvSpPr>
              <xdr:spPr>
                <a:xfrm>
                  <a:off x="255270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6" name="none42" hidden="1">
                  <a:extLst>
                    <a:ext uri="{63B3BB69-23CF-44E3-9099-C40C66FF867C}">
                      <a14:compatExt spid="_x0000_s9336"/>
                    </a:ext>
                  </a:extLst>
                </xdr:cNvPr>
                <xdr:cNvSpPr/>
              </xdr:nvSpPr>
              <xdr:spPr>
                <a:xfrm>
                  <a:off x="39052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7" name="none52" hidden="1">
                  <a:extLst>
                    <a:ext uri="{63B3BB69-23CF-44E3-9099-C40C66FF867C}">
                      <a14:compatExt spid="_x0000_s9337"/>
                    </a:ext>
                  </a:extLst>
                </xdr:cNvPr>
                <xdr:cNvSpPr/>
              </xdr:nvSpPr>
              <xdr:spPr>
                <a:xfrm>
                  <a:off x="5105401" y="4733924"/>
                  <a:ext cx="684702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</xdr:grpSp>
          <xdr:grpSp>
            <xdr:nvGrpSpPr>
              <xdr:cNvPr id="104" name="strong1"/>
              <xdr:cNvGrpSpPr/>
            </xdr:nvGrpSpPr>
            <xdr:grpSpPr>
              <a:xfrm>
                <a:off x="409574" y="4619625"/>
                <a:ext cx="6553202" cy="209550"/>
                <a:chOff x="333374" y="4010025"/>
                <a:chExt cx="5564379" cy="209550"/>
              </a:xfrm>
            </xdr:grpSpPr>
            <xdr:sp macro="" textlink="">
              <xdr:nvSpPr>
                <xdr:cNvPr id="9338" name="PlateHelmet2" hidden="1">
                  <a:extLst>
                    <a:ext uri="{63B3BB69-23CF-44E3-9099-C40C66FF867C}">
                      <a14:compatExt spid="_x0000_s9338"/>
                    </a:ext>
                  </a:extLst>
                </xdr:cNvPr>
                <xdr:cNvSpPr/>
              </xdr:nvSpPr>
              <xdr:spPr>
                <a:xfrm>
                  <a:off x="333374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Helmet</a:t>
                  </a:r>
                </a:p>
              </xdr:txBody>
            </xdr:sp>
            <xdr:sp macro="" textlink="">
              <xdr:nvSpPr>
                <xdr:cNvPr id="9339" name="PlateHarness2" hidden="1">
                  <a:extLst>
                    <a:ext uri="{63B3BB69-23CF-44E3-9099-C40C66FF867C}">
                      <a14:compatExt spid="_x0000_s9339"/>
                    </a:ext>
                  </a:extLst>
                </xdr:cNvPr>
                <xdr:cNvSpPr/>
              </xdr:nvSpPr>
              <xdr:spPr>
                <a:xfrm>
                  <a:off x="1504950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Harness</a:t>
                  </a:r>
                </a:p>
              </xdr:txBody>
            </xdr:sp>
            <xdr:sp macro="" textlink="">
              <xdr:nvSpPr>
                <xdr:cNvPr id="9340" name="PlateGauntlets2" hidden="1">
                  <a:extLst>
                    <a:ext uri="{63B3BB69-23CF-44E3-9099-C40C66FF867C}">
                      <a14:compatExt spid="_x0000_s9340"/>
                    </a:ext>
                  </a:extLst>
                </xdr:cNvPr>
                <xdr:cNvSpPr/>
              </xdr:nvSpPr>
              <xdr:spPr>
                <a:xfrm>
                  <a:off x="267652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Gauntlets</a:t>
                  </a:r>
                </a:p>
              </xdr:txBody>
            </xdr:sp>
            <xdr:sp macro="" textlink="">
              <xdr:nvSpPr>
                <xdr:cNvPr id="9341" name="PlateCuisse2" hidden="1">
                  <a:extLst>
                    <a:ext uri="{63B3BB69-23CF-44E3-9099-C40C66FF867C}">
                      <a14:compatExt spid="_x0000_s9341"/>
                    </a:ext>
                  </a:extLst>
                </xdr:cNvPr>
                <xdr:cNvSpPr/>
              </xdr:nvSpPr>
              <xdr:spPr>
                <a:xfrm>
                  <a:off x="40290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Cuisse</a:t>
                  </a:r>
                </a:p>
              </xdr:txBody>
            </xdr:sp>
            <xdr:sp macro="" textlink="">
              <xdr:nvSpPr>
                <xdr:cNvPr id="9342" name="PlateBoots2" hidden="1">
                  <a:extLst>
                    <a:ext uri="{63B3BB69-23CF-44E3-9099-C40C66FF867C}">
                      <a14:compatExt spid="_x0000_s9342"/>
                    </a:ext>
                  </a:extLst>
                </xdr:cNvPr>
                <xdr:cNvSpPr/>
              </xdr:nvSpPr>
              <xdr:spPr>
                <a:xfrm>
                  <a:off x="5229226" y="4010025"/>
                  <a:ext cx="668527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Boots</a:t>
                  </a:r>
                </a:p>
              </xdr:txBody>
            </xdr:sp>
          </xdr:grpSp>
          <xdr:grpSp>
            <xdr:nvGrpSpPr>
              <xdr:cNvPr id="105" name="medium1"/>
              <xdr:cNvGrpSpPr/>
            </xdr:nvGrpSpPr>
            <xdr:grpSpPr>
              <a:xfrm>
                <a:off x="409574" y="4200524"/>
                <a:ext cx="6800851" cy="219075"/>
                <a:chOff x="323849" y="3667124"/>
                <a:chExt cx="5773250" cy="219075"/>
              </a:xfrm>
            </xdr:grpSpPr>
            <xdr:sp macro="" textlink="">
              <xdr:nvSpPr>
                <xdr:cNvPr id="9343" name="HabergeonHelmet2" hidden="1">
                  <a:extLst>
                    <a:ext uri="{63B3BB69-23CF-44E3-9099-C40C66FF867C}">
                      <a14:compatExt spid="_x0000_s9343"/>
                    </a:ext>
                  </a:extLst>
                </xdr:cNvPr>
                <xdr:cNvSpPr/>
              </xdr:nvSpPr>
              <xdr:spPr>
                <a:xfrm>
                  <a:off x="323849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Helmet</a:t>
                  </a:r>
                </a:p>
              </xdr:txBody>
            </xdr:sp>
            <xdr:sp macro="" textlink="">
              <xdr:nvSpPr>
                <xdr:cNvPr id="9344" name="HabergeonHarness2" hidden="1">
                  <a:extLst>
                    <a:ext uri="{63B3BB69-23CF-44E3-9099-C40C66FF867C}">
                      <a14:compatExt spid="_x0000_s9344"/>
                    </a:ext>
                  </a:extLst>
                </xdr:cNvPr>
                <xdr:cNvSpPr/>
              </xdr:nvSpPr>
              <xdr:spPr>
                <a:xfrm>
                  <a:off x="1495425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Harness</a:t>
                  </a:r>
                </a:p>
              </xdr:txBody>
            </xdr:sp>
            <xdr:sp macro="" textlink="">
              <xdr:nvSpPr>
                <xdr:cNvPr id="9345" name="HabergeonGauntlets2" hidden="1">
                  <a:extLst>
                    <a:ext uri="{63B3BB69-23CF-44E3-9099-C40C66FF867C}">
                      <a14:compatExt spid="_x0000_s9345"/>
                    </a:ext>
                  </a:extLst>
                </xdr:cNvPr>
                <xdr:cNvSpPr/>
              </xdr:nvSpPr>
              <xdr:spPr>
                <a:xfrm>
                  <a:off x="2667000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Gauntlets</a:t>
                  </a:r>
                </a:p>
              </xdr:txBody>
            </xdr:sp>
            <xdr:sp macro="" textlink="">
              <xdr:nvSpPr>
                <xdr:cNvPr id="9346" name="HabergeonCuisse2" hidden="1">
                  <a:extLst>
                    <a:ext uri="{63B3BB69-23CF-44E3-9099-C40C66FF867C}">
                      <a14:compatExt spid="_x0000_s9346"/>
                    </a:ext>
                  </a:extLst>
                </xdr:cNvPr>
                <xdr:cNvSpPr/>
              </xdr:nvSpPr>
              <xdr:spPr>
                <a:xfrm>
                  <a:off x="4010026" y="3667124"/>
                  <a:ext cx="89037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Cuisse</a:t>
                  </a:r>
                </a:p>
              </xdr:txBody>
            </xdr:sp>
            <xdr:sp macro="" textlink="">
              <xdr:nvSpPr>
                <xdr:cNvPr id="9347" name="HabergeonBoots2" hidden="1">
                  <a:extLst>
                    <a:ext uri="{63B3BB69-23CF-44E3-9099-C40C66FF867C}">
                      <a14:compatExt spid="_x0000_s9347"/>
                    </a:ext>
                  </a:extLst>
                </xdr:cNvPr>
                <xdr:cNvSpPr/>
              </xdr:nvSpPr>
              <xdr:spPr>
                <a:xfrm>
                  <a:off x="5210175" y="3667125"/>
                  <a:ext cx="886924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Boots</a:t>
                  </a:r>
                </a:p>
              </xdr:txBody>
            </xdr:sp>
          </xdr:grpSp>
          <xdr:grpSp>
            <xdr:nvGrpSpPr>
              <xdr:cNvPr id="106" name="weak1"/>
              <xdr:cNvGrpSpPr/>
            </xdr:nvGrpSpPr>
            <xdr:grpSpPr>
              <a:xfrm>
                <a:off x="419100" y="3790949"/>
                <a:ext cx="6619877" cy="219075"/>
                <a:chOff x="323850" y="3324224"/>
                <a:chExt cx="5616865" cy="219075"/>
              </a:xfrm>
            </xdr:grpSpPr>
            <xdr:sp macro="" textlink="">
              <xdr:nvSpPr>
                <xdr:cNvPr id="9348" name="LeatherHelmet2" hidden="1">
                  <a:extLst>
                    <a:ext uri="{63B3BB69-23CF-44E3-9099-C40C66FF867C}">
                      <a14:compatExt spid="_x0000_s9348"/>
                    </a:ext>
                  </a:extLst>
                </xdr:cNvPr>
                <xdr:cNvSpPr/>
              </xdr:nvSpPr>
              <xdr:spPr>
                <a:xfrm>
                  <a:off x="323850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Helmet</a:t>
                  </a:r>
                </a:p>
              </xdr:txBody>
            </xdr:sp>
            <xdr:sp macro="" textlink="">
              <xdr:nvSpPr>
                <xdr:cNvPr id="9349" name="LeatherHarness2" hidden="1">
                  <a:extLst>
                    <a:ext uri="{63B3BB69-23CF-44E3-9099-C40C66FF867C}">
                      <a14:compatExt spid="_x0000_s9349"/>
                    </a:ext>
                  </a:extLst>
                </xdr:cNvPr>
                <xdr:cNvSpPr/>
              </xdr:nvSpPr>
              <xdr:spPr>
                <a:xfrm>
                  <a:off x="1493044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Harness</a:t>
                  </a:r>
                </a:p>
              </xdr:txBody>
            </xdr:sp>
            <xdr:sp macro="" textlink="">
              <xdr:nvSpPr>
                <xdr:cNvPr id="9350" name="LeatherGauntlets2" hidden="1">
                  <a:extLst>
                    <a:ext uri="{63B3BB69-23CF-44E3-9099-C40C66FF867C}">
                      <a14:compatExt spid="_x0000_s9350"/>
                    </a:ext>
                  </a:extLst>
                </xdr:cNvPr>
                <xdr:cNvSpPr/>
              </xdr:nvSpPr>
              <xdr:spPr>
                <a:xfrm>
                  <a:off x="2662238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Gauntlets</a:t>
                  </a:r>
                </a:p>
              </xdr:txBody>
            </xdr:sp>
            <xdr:sp macro="" textlink="">
              <xdr:nvSpPr>
                <xdr:cNvPr id="9351" name="LeatherCuisse2" hidden="1">
                  <a:extLst>
                    <a:ext uri="{63B3BB69-23CF-44E3-9099-C40C66FF867C}">
                      <a14:compatExt spid="_x0000_s9351"/>
                    </a:ext>
                  </a:extLst>
                </xdr:cNvPr>
                <xdr:cNvSpPr/>
              </xdr:nvSpPr>
              <xdr:spPr>
                <a:xfrm>
                  <a:off x="3993357" y="3324224"/>
                  <a:ext cx="97753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Cuisse</a:t>
                  </a:r>
                </a:p>
              </xdr:txBody>
            </xdr:sp>
            <xdr:sp macro="" textlink="">
              <xdr:nvSpPr>
                <xdr:cNvPr id="9352" name="LeatherBoots2" hidden="1">
                  <a:extLst>
                    <a:ext uri="{63B3BB69-23CF-44E3-9099-C40C66FF867C}">
                      <a14:compatExt spid="_x0000_s9352"/>
                    </a:ext>
                  </a:extLst>
                </xdr:cNvPr>
                <xdr:cNvSpPr/>
              </xdr:nvSpPr>
              <xdr:spPr>
                <a:xfrm>
                  <a:off x="5191126" y="3324224"/>
                  <a:ext cx="749589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Boots</a:t>
                  </a:r>
                </a:p>
              </xdr:txBody>
            </xdr:sp>
          </xdr:grpSp>
          <xdr:sp macro="" textlink="">
            <xdr:nvSpPr>
              <xdr:cNvPr id="9353" name="Head2" hidden="1">
                <a:extLst>
                  <a:ext uri="{63B3BB69-23CF-44E3-9099-C40C66FF867C}">
                    <a14:compatExt spid="_x0000_s9353"/>
                  </a:ext>
                </a:extLst>
              </xdr:cNvPr>
              <xdr:cNvSpPr/>
            </xdr:nvSpPr>
            <xdr:spPr>
              <a:xfrm>
                <a:off x="381000" y="3705225"/>
                <a:ext cx="1257300" cy="16383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54" name="Chest2" hidden="1">
                <a:extLst>
                  <a:ext uri="{63B3BB69-23CF-44E3-9099-C40C66FF867C}">
                    <a14:compatExt spid="_x0000_s9354"/>
                  </a:ext>
                </a:extLst>
              </xdr:cNvPr>
              <xdr:cNvSpPr/>
            </xdr:nvSpPr>
            <xdr:spPr>
              <a:xfrm>
                <a:off x="1752600" y="3705225"/>
                <a:ext cx="13049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Chest</a:t>
                </a:r>
              </a:p>
            </xdr:txBody>
          </xdr:sp>
          <xdr:sp macro="" textlink="">
            <xdr:nvSpPr>
              <xdr:cNvPr id="9355" name="Arms2" hidden="1">
                <a:extLst>
                  <a:ext uri="{63B3BB69-23CF-44E3-9099-C40C66FF867C}">
                    <a14:compatExt spid="_x0000_s9355"/>
                  </a:ext>
                </a:extLst>
              </xdr:cNvPr>
              <xdr:cNvSpPr/>
            </xdr:nvSpPr>
            <xdr:spPr>
              <a:xfrm>
                <a:off x="3152775" y="3695700"/>
                <a:ext cx="136207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56" name="Legs2" hidden="1">
                <a:extLst>
                  <a:ext uri="{63B3BB69-23CF-44E3-9099-C40C66FF867C}">
                    <a14:compatExt spid="_x0000_s9356"/>
                  </a:ext>
                </a:extLst>
              </xdr:cNvPr>
              <xdr:cNvSpPr/>
            </xdr:nvSpPr>
            <xdr:spPr>
              <a:xfrm>
                <a:off x="4638675" y="3705225"/>
                <a:ext cx="1333500" cy="16097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  <xdr:sp macro="" textlink="">
            <xdr:nvSpPr>
              <xdr:cNvPr id="9357" name="Feet2" hidden="1">
                <a:extLst>
                  <a:ext uri="{63B3BB69-23CF-44E3-9099-C40C66FF867C}">
                    <a14:compatExt spid="_x0000_s9357"/>
                  </a:ext>
                </a:extLst>
              </xdr:cNvPr>
              <xdr:cNvSpPr/>
            </xdr:nvSpPr>
            <xdr:spPr>
              <a:xfrm>
                <a:off x="6096000" y="3695700"/>
                <a:ext cx="12668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Feet</a:t>
                </a:r>
              </a:p>
            </xdr:txBody>
          </xdr:sp>
          <xdr:sp macro="" textlink="">
            <xdr:nvSpPr>
              <xdr:cNvPr id="9358" name="Player2Group" hidden="1">
                <a:extLst>
                  <a:ext uri="{63B3BB69-23CF-44E3-9099-C40C66FF867C}">
                    <a14:compatExt spid="_x0000_s9358"/>
                  </a:ext>
                </a:extLst>
              </xdr:cNvPr>
              <xdr:cNvSpPr/>
            </xdr:nvSpPr>
            <xdr:spPr>
              <a:xfrm>
                <a:off x="161925" y="3429000"/>
                <a:ext cx="7439025" cy="43815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2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38</xdr:row>
          <xdr:rowOff>47624</xdr:rowOff>
        </xdr:from>
        <xdr:to>
          <xdr:col>9</xdr:col>
          <xdr:colOff>409576</xdr:colOff>
          <xdr:row>39</xdr:row>
          <xdr:rowOff>76199</xdr:rowOff>
        </xdr:to>
        <xdr:grpSp>
          <xdr:nvGrpSpPr>
            <xdr:cNvPr id="17" name="PotionGroup1"/>
            <xdr:cNvGrpSpPr/>
          </xdr:nvGrpSpPr>
          <xdr:grpSpPr>
            <a:xfrm>
              <a:off x="457200" y="7296149"/>
              <a:ext cx="7696201" cy="219075"/>
              <a:chOff x="314325" y="7172324"/>
              <a:chExt cx="7696201" cy="219075"/>
            </a:xfrm>
          </xdr:grpSpPr>
          <xdr:sp macro="" textlink="">
            <xdr:nvSpPr>
              <xdr:cNvPr id="9372" name="InstantCure1" hidden="1">
                <a:extLst>
                  <a:ext uri="{63B3BB69-23CF-44E3-9099-C40C66FF867C}">
                    <a14:compatExt spid="_x0000_s9372"/>
                  </a:ext>
                </a:extLst>
              </xdr:cNvPr>
              <xdr:cNvSpPr/>
            </xdr:nvSpPr>
            <xdr:spPr>
              <a:xfrm>
                <a:off x="314325" y="7177086"/>
                <a:ext cx="80962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Instant Cure</a:t>
                </a:r>
              </a:p>
            </xdr:txBody>
          </xdr:sp>
          <xdr:sp macro="" textlink="">
            <xdr:nvSpPr>
              <xdr:cNvPr id="9373" name="Regeneration1" hidden="1">
                <a:extLst>
                  <a:ext uri="{63B3BB69-23CF-44E3-9099-C40C66FF867C}">
                    <a14:compatExt spid="_x0000_s9373"/>
                  </a:ext>
                </a:extLst>
              </xdr:cNvPr>
              <xdr:cNvSpPr/>
            </xdr:nvSpPr>
            <xdr:spPr>
              <a:xfrm>
                <a:off x="1404938" y="7172324"/>
                <a:ext cx="86677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Regeneration</a:t>
                </a:r>
              </a:p>
            </xdr:txBody>
          </xdr:sp>
          <xdr:sp macro="" textlink="">
            <xdr:nvSpPr>
              <xdr:cNvPr id="9374" name="Strength1" hidden="1">
                <a:extLst>
                  <a:ext uri="{63B3BB69-23CF-44E3-9099-C40C66FF867C}">
                    <a14:compatExt spid="_x0000_s9374"/>
                  </a:ext>
                </a:extLst>
              </xdr:cNvPr>
              <xdr:cNvSpPr/>
            </xdr:nvSpPr>
            <xdr:spPr>
              <a:xfrm>
                <a:off x="2447926" y="7177086"/>
                <a:ext cx="6381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Strength</a:t>
                </a:r>
              </a:p>
            </xdr:txBody>
          </xdr:sp>
          <xdr:sp macro="" textlink="">
            <xdr:nvSpPr>
              <xdr:cNvPr id="9375" name="Speed1" hidden="1">
                <a:extLst>
                  <a:ext uri="{63B3BB69-23CF-44E3-9099-C40C66FF867C}">
                    <a14:compatExt spid="_x0000_s9375"/>
                  </a:ext>
                </a:extLst>
              </xdr:cNvPr>
              <xdr:cNvSpPr/>
            </xdr:nvSpPr>
            <xdr:spPr>
              <a:xfrm>
                <a:off x="3262314" y="7181849"/>
                <a:ext cx="542925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Speed</a:t>
                </a:r>
              </a:p>
            </xdr:txBody>
          </xdr:sp>
          <xdr:sp macro="" textlink="">
            <xdr:nvSpPr>
              <xdr:cNvPr id="9376" name="Accuracy1" hidden="1">
                <a:extLst>
                  <a:ext uri="{63B3BB69-23CF-44E3-9099-C40C66FF867C}">
                    <a14:compatExt spid="_x0000_s9376"/>
                  </a:ext>
                </a:extLst>
              </xdr:cNvPr>
              <xdr:cNvSpPr/>
            </xdr:nvSpPr>
            <xdr:spPr>
              <a:xfrm>
                <a:off x="3981452" y="7172324"/>
                <a:ext cx="6667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Accuracy</a:t>
                </a:r>
              </a:p>
            </xdr:txBody>
          </xdr:sp>
          <xdr:sp macro="" textlink="">
            <xdr:nvSpPr>
              <xdr:cNvPr id="9377" name="Blindness1" hidden="1">
                <a:extLst>
                  <a:ext uri="{63B3BB69-23CF-44E3-9099-C40C66FF867C}">
                    <a14:compatExt spid="_x0000_s9377"/>
                  </a:ext>
                </a:extLst>
              </xdr:cNvPr>
              <xdr:cNvSpPr/>
            </xdr:nvSpPr>
            <xdr:spPr>
              <a:xfrm>
                <a:off x="4824415" y="7181849"/>
                <a:ext cx="685800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Blindness</a:t>
                </a:r>
              </a:p>
            </xdr:txBody>
          </xdr:sp>
          <xdr:sp macro="" textlink="">
            <xdr:nvSpPr>
              <xdr:cNvPr id="9378" name="Slowness1" hidden="1">
                <a:extLst>
                  <a:ext uri="{63B3BB69-23CF-44E3-9099-C40C66FF867C}">
                    <a14:compatExt spid="_x0000_s9378"/>
                  </a:ext>
                </a:extLst>
              </xdr:cNvPr>
              <xdr:cNvSpPr/>
            </xdr:nvSpPr>
            <xdr:spPr>
              <a:xfrm>
                <a:off x="5686428" y="7172324"/>
                <a:ext cx="69532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Slowness</a:t>
                </a:r>
              </a:p>
            </xdr:txBody>
          </xdr:sp>
          <xdr:sp macro="" textlink="">
            <xdr:nvSpPr>
              <xdr:cNvPr id="9379" name="Poison1" hidden="1">
                <a:extLst>
                  <a:ext uri="{63B3BB69-23CF-44E3-9099-C40C66FF867C}">
                    <a14:compatExt spid="_x0000_s9379"/>
                  </a:ext>
                </a:extLst>
              </xdr:cNvPr>
              <xdr:cNvSpPr/>
            </xdr:nvSpPr>
            <xdr:spPr>
              <a:xfrm>
                <a:off x="7477126" y="7172324"/>
                <a:ext cx="533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Poison</a:t>
                </a:r>
              </a:p>
            </xdr:txBody>
          </xdr:sp>
          <xdr:sp macro="" textlink="">
            <xdr:nvSpPr>
              <xdr:cNvPr id="9380" name="Weakness1" hidden="1">
                <a:extLst>
                  <a:ext uri="{63B3BB69-23CF-44E3-9099-C40C66FF867C}">
                    <a14:compatExt spid="_x0000_s9380"/>
                  </a:ext>
                </a:extLst>
              </xdr:cNvPr>
              <xdr:cNvSpPr/>
            </xdr:nvSpPr>
            <xdr:spPr>
              <a:xfrm>
                <a:off x="6557966" y="7177086"/>
                <a:ext cx="7429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Weakness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37</xdr:row>
          <xdr:rowOff>0</xdr:rowOff>
        </xdr:from>
        <xdr:to>
          <xdr:col>9</xdr:col>
          <xdr:colOff>523875</xdr:colOff>
          <xdr:row>40</xdr:row>
          <xdr:rowOff>85725</xdr:rowOff>
        </xdr:to>
        <xdr:sp macro="" textlink="">
          <xdr:nvSpPr>
            <xdr:cNvPr id="9381" name="Potions1" hidden="1">
              <a:extLst>
                <a:ext uri="{63B3BB69-23CF-44E3-9099-C40C66FF867C}">
                  <a14:compatExt spid="_x0000_s9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18</xdr:row>
          <xdr:rowOff>0</xdr:rowOff>
        </xdr:from>
        <xdr:to>
          <xdr:col>10</xdr:col>
          <xdr:colOff>0</xdr:colOff>
          <xdr:row>41</xdr:row>
          <xdr:rowOff>0</xdr:rowOff>
        </xdr:to>
        <xdr:grpSp>
          <xdr:nvGrpSpPr>
            <xdr:cNvPr id="13" name="Player1"/>
            <xdr:cNvGrpSpPr/>
          </xdr:nvGrpSpPr>
          <xdr:grpSpPr>
            <a:xfrm>
              <a:off x="161925" y="3438525"/>
              <a:ext cx="8191500" cy="4381500"/>
              <a:chOff x="161925" y="3429000"/>
              <a:chExt cx="7439025" cy="4381500"/>
            </a:xfrm>
          </xdr:grpSpPr>
          <xdr:grpSp>
            <xdr:nvGrpSpPr>
              <xdr:cNvPr id="8" name="Sub1"/>
              <xdr:cNvGrpSpPr/>
            </xdr:nvGrpSpPr>
            <xdr:grpSpPr>
              <a:xfrm>
                <a:off x="400050" y="6496049"/>
                <a:ext cx="4914900" cy="219075"/>
                <a:chOff x="200025" y="6086474"/>
                <a:chExt cx="4914900" cy="219075"/>
              </a:xfrm>
            </xdr:grpSpPr>
            <xdr:sp macro="" textlink="">
              <xdr:nvSpPr>
                <xdr:cNvPr id="9289" name="Fists1s" hidden="1">
                  <a:extLst>
                    <a:ext uri="{63B3BB69-23CF-44E3-9099-C40C66FF867C}">
                      <a14:compatExt spid="_x0000_s9289"/>
                    </a:ext>
                  </a:extLst>
                </xdr:cNvPr>
                <xdr:cNvSpPr/>
              </xdr:nvSpPr>
              <xdr:spPr>
                <a:xfrm>
                  <a:off x="200025" y="6091236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290" name="Dagger1s" hidden="1">
                  <a:extLst>
                    <a:ext uri="{63B3BB69-23CF-44E3-9099-C40C66FF867C}">
                      <a14:compatExt spid="_x0000_s9290"/>
                    </a:ext>
                  </a:extLst>
                </xdr:cNvPr>
                <xdr:cNvSpPr/>
              </xdr:nvSpPr>
              <xdr:spPr>
                <a:xfrm>
                  <a:off x="762001" y="6095999"/>
                  <a:ext cx="57150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291" name="Axt1s" hidden="1">
                  <a:extLst>
                    <a:ext uri="{63B3BB69-23CF-44E3-9099-C40C66FF867C}">
                      <a14:compatExt spid="_x0000_s9291"/>
                    </a:ext>
                  </a:extLst>
                </xdr:cNvPr>
                <xdr:cNvSpPr/>
              </xdr:nvSpPr>
              <xdr:spPr>
                <a:xfrm>
                  <a:off x="1438276" y="6086474"/>
                  <a:ext cx="4381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292" name="Sword1s" hidden="1">
                  <a:extLst>
                    <a:ext uri="{63B3BB69-23CF-44E3-9099-C40C66FF867C}">
                      <a14:compatExt spid="_x0000_s9292"/>
                    </a:ext>
                  </a:extLst>
                </xdr:cNvPr>
                <xdr:cNvSpPr/>
              </xdr:nvSpPr>
              <xdr:spPr>
                <a:xfrm>
                  <a:off x="1933575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293" name="Shield1s" hidden="1">
                  <a:extLst>
                    <a:ext uri="{63B3BB69-23CF-44E3-9099-C40C66FF867C}">
                      <a14:compatExt spid="_x0000_s9293"/>
                    </a:ext>
                  </a:extLst>
                </xdr:cNvPr>
                <xdr:cNvSpPr/>
              </xdr:nvSpPr>
              <xdr:spPr>
                <a:xfrm>
                  <a:off x="2514600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294" name="Sabre1s" hidden="1">
                  <a:extLst>
                    <a:ext uri="{63B3BB69-23CF-44E3-9099-C40C66FF867C}">
                      <a14:compatExt spid="_x0000_s9294"/>
                    </a:ext>
                  </a:extLst>
                </xdr:cNvPr>
                <xdr:cNvSpPr/>
              </xdr:nvSpPr>
              <xdr:spPr>
                <a:xfrm>
                  <a:off x="3143250" y="6091236"/>
                  <a:ext cx="5810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295" name="Longsword1s" hidden="1">
                  <a:extLst>
                    <a:ext uri="{63B3BB69-23CF-44E3-9099-C40C66FF867C}">
                      <a14:compatExt spid="_x0000_s9295"/>
                    </a:ext>
                  </a:extLst>
                </xdr:cNvPr>
                <xdr:cNvSpPr/>
              </xdr:nvSpPr>
              <xdr:spPr>
                <a:xfrm>
                  <a:off x="3752851" y="6095999"/>
                  <a:ext cx="81915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296" name="Bow1s" hidden="1">
                  <a:extLst>
                    <a:ext uri="{63B3BB69-23CF-44E3-9099-C40C66FF867C}">
                      <a14:compatExt spid="_x0000_s9296"/>
                    </a:ext>
                  </a:extLst>
                </xdr:cNvPr>
                <xdr:cNvSpPr/>
              </xdr:nvSpPr>
              <xdr:spPr>
                <a:xfrm>
                  <a:off x="4610100" y="6091236"/>
                  <a:ext cx="5048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08" name="SubWeapons1" hidden="1">
                <a:extLst>
                  <a:ext uri="{63B3BB69-23CF-44E3-9099-C40C66FF867C}">
                    <a14:compatExt spid="_x0000_s9308"/>
                  </a:ext>
                </a:extLst>
              </xdr:cNvPr>
              <xdr:cNvSpPr/>
            </xdr:nvSpPr>
            <xdr:spPr>
              <a:xfrm>
                <a:off x="381000" y="6296025"/>
                <a:ext cx="4981575" cy="6000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Sub Weapons</a:t>
                </a:r>
              </a:p>
            </xdr:txBody>
          </xdr:sp>
          <xdr:grpSp>
            <xdr:nvGrpSpPr>
              <xdr:cNvPr id="11" name="Main1"/>
              <xdr:cNvGrpSpPr/>
            </xdr:nvGrpSpPr>
            <xdr:grpSpPr>
              <a:xfrm>
                <a:off x="400050" y="5781674"/>
                <a:ext cx="4876801" cy="228600"/>
                <a:chOff x="200025" y="5419724"/>
                <a:chExt cx="4876801" cy="228600"/>
              </a:xfrm>
            </xdr:grpSpPr>
            <xdr:sp macro="" textlink="">
              <xdr:nvSpPr>
                <xdr:cNvPr id="9280" name="Fists1m" hidden="1">
                  <a:extLst>
                    <a:ext uri="{63B3BB69-23CF-44E3-9099-C40C66FF867C}">
                      <a14:compatExt spid="_x0000_s9280"/>
                    </a:ext>
                  </a:extLst>
                </xdr:cNvPr>
                <xdr:cNvSpPr/>
              </xdr:nvSpPr>
              <xdr:spPr>
                <a:xfrm>
                  <a:off x="200025" y="5424486"/>
                  <a:ext cx="466725" cy="219076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281" name="Dagger1m" hidden="1">
                  <a:extLst>
                    <a:ext uri="{63B3BB69-23CF-44E3-9099-C40C66FF867C}">
                      <a14:compatExt spid="_x0000_s9281"/>
                    </a:ext>
                  </a:extLst>
                </xdr:cNvPr>
                <xdr:cNvSpPr/>
              </xdr:nvSpPr>
              <xdr:spPr>
                <a:xfrm>
                  <a:off x="771525" y="5419724"/>
                  <a:ext cx="600075" cy="22860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282" name="Axt1m" hidden="1">
                  <a:extLst>
                    <a:ext uri="{63B3BB69-23CF-44E3-9099-C40C66FF867C}">
                      <a14:compatExt spid="_x0000_s9282"/>
                    </a:ext>
                  </a:extLst>
                </xdr:cNvPr>
                <xdr:cNvSpPr/>
              </xdr:nvSpPr>
              <xdr:spPr>
                <a:xfrm>
                  <a:off x="1409700" y="5429249"/>
                  <a:ext cx="48577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283" name="Sword1m" hidden="1">
                  <a:extLst>
                    <a:ext uri="{63B3BB69-23CF-44E3-9099-C40C66FF867C}">
                      <a14:compatExt spid="_x0000_s9283"/>
                    </a:ext>
                  </a:extLst>
                </xdr:cNvPr>
                <xdr:cNvSpPr/>
              </xdr:nvSpPr>
              <xdr:spPr>
                <a:xfrm>
                  <a:off x="1924051" y="5429249"/>
                  <a:ext cx="57150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284" name="Shield1m" hidden="1">
                  <a:extLst>
                    <a:ext uri="{63B3BB69-23CF-44E3-9099-C40C66FF867C}">
                      <a14:compatExt spid="_x0000_s9284"/>
                    </a:ext>
                  </a:extLst>
                </xdr:cNvPr>
                <xdr:cNvSpPr/>
              </xdr:nvSpPr>
              <xdr:spPr>
                <a:xfrm>
                  <a:off x="2524126" y="5429249"/>
                  <a:ext cx="55245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285" name="Sabre1m" hidden="1">
                  <a:extLst>
                    <a:ext uri="{63B3BB69-23CF-44E3-9099-C40C66FF867C}">
                      <a14:compatExt spid="_x0000_s9285"/>
                    </a:ext>
                  </a:extLst>
                </xdr:cNvPr>
                <xdr:cNvSpPr/>
              </xdr:nvSpPr>
              <xdr:spPr>
                <a:xfrm>
                  <a:off x="3152776" y="5424487"/>
                  <a:ext cx="5524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286" name="Longsword1m" hidden="1">
                  <a:extLst>
                    <a:ext uri="{63B3BB69-23CF-44E3-9099-C40C66FF867C}">
                      <a14:compatExt spid="_x0000_s9286"/>
                    </a:ext>
                  </a:extLst>
                </xdr:cNvPr>
                <xdr:cNvSpPr/>
              </xdr:nvSpPr>
              <xdr:spPr>
                <a:xfrm>
                  <a:off x="3762375" y="5434012"/>
                  <a:ext cx="771525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287" name="Bow1m" hidden="1">
                  <a:extLst>
                    <a:ext uri="{63B3BB69-23CF-44E3-9099-C40C66FF867C}">
                      <a14:compatExt spid="_x0000_s9287"/>
                    </a:ext>
                  </a:extLst>
                </xdr:cNvPr>
                <xdr:cNvSpPr/>
              </xdr:nvSpPr>
              <xdr:spPr>
                <a:xfrm>
                  <a:off x="4591051" y="5424487"/>
                  <a:ext cx="48577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07" name="MainWeapons1" hidden="1">
                <a:extLst>
                  <a:ext uri="{63B3BB69-23CF-44E3-9099-C40C66FF867C}">
                    <a14:compatExt spid="_x0000_s9307"/>
                  </a:ext>
                </a:extLst>
              </xdr:cNvPr>
              <xdr:cNvSpPr/>
            </xdr:nvSpPr>
            <xdr:spPr>
              <a:xfrm>
                <a:off x="371475" y="5600700"/>
                <a:ext cx="5000625" cy="5810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Main Weapons</a:t>
                </a:r>
              </a:p>
            </xdr:txBody>
          </xdr:sp>
          <xdr:grpSp>
            <xdr:nvGrpSpPr>
              <xdr:cNvPr id="9" name="no_Armament1"/>
              <xdr:cNvGrpSpPr/>
            </xdr:nvGrpSpPr>
            <xdr:grpSpPr>
              <a:xfrm>
                <a:off x="409574" y="5010149"/>
                <a:ext cx="6572250" cy="228601"/>
                <a:chOff x="209549" y="4733924"/>
                <a:chExt cx="5580552" cy="228601"/>
              </a:xfrm>
            </xdr:grpSpPr>
            <xdr:sp macro="" textlink="">
              <xdr:nvSpPr>
                <xdr:cNvPr id="9255" name="none11" hidden="1">
                  <a:extLst>
                    <a:ext uri="{63B3BB69-23CF-44E3-9099-C40C66FF867C}">
                      <a14:compatExt spid="_x0000_s9255"/>
                    </a:ext>
                  </a:extLst>
                </xdr:cNvPr>
                <xdr:cNvSpPr/>
              </xdr:nvSpPr>
              <xdr:spPr>
                <a:xfrm>
                  <a:off x="209549" y="475297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6" name="none21" hidden="1">
                  <a:extLst>
                    <a:ext uri="{63B3BB69-23CF-44E3-9099-C40C66FF867C}">
                      <a14:compatExt spid="_x0000_s9256"/>
                    </a:ext>
                  </a:extLst>
                </xdr:cNvPr>
                <xdr:cNvSpPr/>
              </xdr:nvSpPr>
              <xdr:spPr>
                <a:xfrm>
                  <a:off x="13906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7" name="none31" hidden="1">
                  <a:extLst>
                    <a:ext uri="{63B3BB69-23CF-44E3-9099-C40C66FF867C}">
                      <a14:compatExt spid="_x0000_s9257"/>
                    </a:ext>
                  </a:extLst>
                </xdr:cNvPr>
                <xdr:cNvSpPr/>
              </xdr:nvSpPr>
              <xdr:spPr>
                <a:xfrm>
                  <a:off x="255270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8" name="none41" hidden="1">
                  <a:extLst>
                    <a:ext uri="{63B3BB69-23CF-44E3-9099-C40C66FF867C}">
                      <a14:compatExt spid="_x0000_s9258"/>
                    </a:ext>
                  </a:extLst>
                </xdr:cNvPr>
                <xdr:cNvSpPr/>
              </xdr:nvSpPr>
              <xdr:spPr>
                <a:xfrm>
                  <a:off x="39052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60" name="none51" hidden="1">
                  <a:extLst>
                    <a:ext uri="{63B3BB69-23CF-44E3-9099-C40C66FF867C}">
                      <a14:compatExt spid="_x0000_s9260"/>
                    </a:ext>
                  </a:extLst>
                </xdr:cNvPr>
                <xdr:cNvSpPr/>
              </xdr:nvSpPr>
              <xdr:spPr>
                <a:xfrm>
                  <a:off x="5105399" y="4733924"/>
                  <a:ext cx="684702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</xdr:grpSp>
          <xdr:grpSp>
            <xdr:nvGrpSpPr>
              <xdr:cNvPr id="2" name="strong1"/>
              <xdr:cNvGrpSpPr/>
            </xdr:nvGrpSpPr>
            <xdr:grpSpPr>
              <a:xfrm>
                <a:off x="409575" y="4619625"/>
                <a:ext cx="6553201" cy="209550"/>
                <a:chOff x="333375" y="4010025"/>
                <a:chExt cx="5564378" cy="209550"/>
              </a:xfrm>
            </xdr:grpSpPr>
            <xdr:sp macro="" textlink="">
              <xdr:nvSpPr>
                <xdr:cNvPr id="9243" name="PlateHelmet1" hidden="1">
                  <a:extLst>
                    <a:ext uri="{63B3BB69-23CF-44E3-9099-C40C66FF867C}">
                      <a14:compatExt spid="_x0000_s9243"/>
                    </a:ext>
                  </a:extLst>
                </xdr:cNvPr>
                <xdr:cNvSpPr/>
              </xdr:nvSpPr>
              <xdr:spPr>
                <a:xfrm>
                  <a:off x="3333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Helmet</a:t>
                  </a:r>
                </a:p>
              </xdr:txBody>
            </xdr:sp>
            <xdr:sp macro="" textlink="">
              <xdr:nvSpPr>
                <xdr:cNvPr id="9244" name="PlateHarness1" hidden="1">
                  <a:extLst>
                    <a:ext uri="{63B3BB69-23CF-44E3-9099-C40C66FF867C}">
                      <a14:compatExt spid="_x0000_s9244"/>
                    </a:ext>
                  </a:extLst>
                </xdr:cNvPr>
                <xdr:cNvSpPr/>
              </xdr:nvSpPr>
              <xdr:spPr>
                <a:xfrm>
                  <a:off x="1504950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Harness</a:t>
                  </a:r>
                </a:p>
              </xdr:txBody>
            </xdr:sp>
            <xdr:sp macro="" textlink="">
              <xdr:nvSpPr>
                <xdr:cNvPr id="9245" name="PlateGauntlets1" hidden="1">
                  <a:extLst>
                    <a:ext uri="{63B3BB69-23CF-44E3-9099-C40C66FF867C}">
                      <a14:compatExt spid="_x0000_s9245"/>
                    </a:ext>
                  </a:extLst>
                </xdr:cNvPr>
                <xdr:cNvSpPr/>
              </xdr:nvSpPr>
              <xdr:spPr>
                <a:xfrm>
                  <a:off x="267652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Gauntlets</a:t>
                  </a:r>
                </a:p>
              </xdr:txBody>
            </xdr:sp>
            <xdr:sp macro="" textlink="">
              <xdr:nvSpPr>
                <xdr:cNvPr id="9246" name="PlateCuisse1" hidden="1">
                  <a:extLst>
                    <a:ext uri="{63B3BB69-23CF-44E3-9099-C40C66FF867C}">
                      <a14:compatExt spid="_x0000_s9246"/>
                    </a:ext>
                  </a:extLst>
                </xdr:cNvPr>
                <xdr:cNvSpPr/>
              </xdr:nvSpPr>
              <xdr:spPr>
                <a:xfrm>
                  <a:off x="40290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Cuisse</a:t>
                  </a:r>
                </a:p>
              </xdr:txBody>
            </xdr:sp>
            <xdr:sp macro="" textlink="">
              <xdr:nvSpPr>
                <xdr:cNvPr id="9247" name="PlateBoots1" hidden="1">
                  <a:extLst>
                    <a:ext uri="{63B3BB69-23CF-44E3-9099-C40C66FF867C}">
                      <a14:compatExt spid="_x0000_s9247"/>
                    </a:ext>
                  </a:extLst>
                </xdr:cNvPr>
                <xdr:cNvSpPr/>
              </xdr:nvSpPr>
              <xdr:spPr>
                <a:xfrm>
                  <a:off x="5229226" y="4010025"/>
                  <a:ext cx="668527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Boots</a:t>
                  </a:r>
                </a:p>
              </xdr:txBody>
            </xdr:sp>
          </xdr:grpSp>
          <xdr:grpSp>
            <xdr:nvGrpSpPr>
              <xdr:cNvPr id="3" name="medium1"/>
              <xdr:cNvGrpSpPr/>
            </xdr:nvGrpSpPr>
            <xdr:grpSpPr>
              <a:xfrm>
                <a:off x="409573" y="4200524"/>
                <a:ext cx="6800852" cy="219075"/>
                <a:chOff x="323848" y="3667124"/>
                <a:chExt cx="5773251" cy="219075"/>
              </a:xfrm>
            </xdr:grpSpPr>
            <xdr:sp macro="" textlink="">
              <xdr:nvSpPr>
                <xdr:cNvPr id="9238" name="HabergeonHelmet1" hidden="1">
                  <a:extLst>
                    <a:ext uri="{63B3BB69-23CF-44E3-9099-C40C66FF867C}">
                      <a14:compatExt spid="_x0000_s9238"/>
                    </a:ext>
                  </a:extLst>
                </xdr:cNvPr>
                <xdr:cNvSpPr/>
              </xdr:nvSpPr>
              <xdr:spPr>
                <a:xfrm>
                  <a:off x="323848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Helmet</a:t>
                  </a:r>
                </a:p>
              </xdr:txBody>
            </xdr:sp>
            <xdr:sp macro="" textlink="">
              <xdr:nvSpPr>
                <xdr:cNvPr id="9239" name="HabergeonHarness1" hidden="1">
                  <a:extLst>
                    <a:ext uri="{63B3BB69-23CF-44E3-9099-C40C66FF867C}">
                      <a14:compatExt spid="_x0000_s9239"/>
                    </a:ext>
                  </a:extLst>
                </xdr:cNvPr>
                <xdr:cNvSpPr/>
              </xdr:nvSpPr>
              <xdr:spPr>
                <a:xfrm>
                  <a:off x="1495425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Harness</a:t>
                  </a:r>
                </a:p>
              </xdr:txBody>
            </xdr:sp>
            <xdr:sp macro="" textlink="">
              <xdr:nvSpPr>
                <xdr:cNvPr id="9240" name="HabergeonGauntlets1" hidden="1">
                  <a:extLst>
                    <a:ext uri="{63B3BB69-23CF-44E3-9099-C40C66FF867C}">
                      <a14:compatExt spid="_x0000_s9240"/>
                    </a:ext>
                  </a:extLst>
                </xdr:cNvPr>
                <xdr:cNvSpPr/>
              </xdr:nvSpPr>
              <xdr:spPr>
                <a:xfrm>
                  <a:off x="2667000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Gauntlets</a:t>
                  </a:r>
                </a:p>
              </xdr:txBody>
            </xdr:sp>
            <xdr:sp macro="" textlink="">
              <xdr:nvSpPr>
                <xdr:cNvPr id="9241" name="HabergeonCuisse1" hidden="1">
                  <a:extLst>
                    <a:ext uri="{63B3BB69-23CF-44E3-9099-C40C66FF867C}">
                      <a14:compatExt spid="_x0000_s9241"/>
                    </a:ext>
                  </a:extLst>
                </xdr:cNvPr>
                <xdr:cNvSpPr/>
              </xdr:nvSpPr>
              <xdr:spPr>
                <a:xfrm>
                  <a:off x="4010026" y="3667124"/>
                  <a:ext cx="89037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Cuisse</a:t>
                  </a:r>
                </a:p>
              </xdr:txBody>
            </xdr:sp>
            <xdr:sp macro="" textlink="">
              <xdr:nvSpPr>
                <xdr:cNvPr id="9242" name="HabergeonBoots1" hidden="1">
                  <a:extLst>
                    <a:ext uri="{63B3BB69-23CF-44E3-9099-C40C66FF867C}">
                      <a14:compatExt spid="_x0000_s9242"/>
                    </a:ext>
                  </a:extLst>
                </xdr:cNvPr>
                <xdr:cNvSpPr/>
              </xdr:nvSpPr>
              <xdr:spPr>
                <a:xfrm>
                  <a:off x="5210175" y="3667125"/>
                  <a:ext cx="886924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Boots</a:t>
                  </a:r>
                </a:p>
              </xdr:txBody>
            </xdr:sp>
          </xdr:grpSp>
          <xdr:grpSp>
            <xdr:nvGrpSpPr>
              <xdr:cNvPr id="6" name="weak1"/>
              <xdr:cNvGrpSpPr/>
            </xdr:nvGrpSpPr>
            <xdr:grpSpPr>
              <a:xfrm>
                <a:off x="419099" y="3790949"/>
                <a:ext cx="6619877" cy="219075"/>
                <a:chOff x="323849" y="3324224"/>
                <a:chExt cx="5616865" cy="219075"/>
              </a:xfrm>
            </xdr:grpSpPr>
            <xdr:sp macro="" textlink="">
              <xdr:nvSpPr>
                <xdr:cNvPr id="9233" name="LeatherHelmet1" hidden="1">
                  <a:extLst>
                    <a:ext uri="{63B3BB69-23CF-44E3-9099-C40C66FF867C}">
                      <a14:compatExt spid="_x0000_s9233"/>
                    </a:ext>
                  </a:extLst>
                </xdr:cNvPr>
                <xdr:cNvSpPr/>
              </xdr:nvSpPr>
              <xdr:spPr>
                <a:xfrm>
                  <a:off x="323849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Helmet</a:t>
                  </a:r>
                </a:p>
              </xdr:txBody>
            </xdr:sp>
            <xdr:sp macro="" textlink="">
              <xdr:nvSpPr>
                <xdr:cNvPr id="9234" name="LeatherHarness1" hidden="1">
                  <a:extLst>
                    <a:ext uri="{63B3BB69-23CF-44E3-9099-C40C66FF867C}">
                      <a14:compatExt spid="_x0000_s9234"/>
                    </a:ext>
                  </a:extLst>
                </xdr:cNvPr>
                <xdr:cNvSpPr/>
              </xdr:nvSpPr>
              <xdr:spPr>
                <a:xfrm>
                  <a:off x="1493044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Harness</a:t>
                  </a:r>
                </a:p>
              </xdr:txBody>
            </xdr:sp>
            <xdr:sp macro="" textlink="">
              <xdr:nvSpPr>
                <xdr:cNvPr id="9235" name="LeatherGauntlets1" hidden="1">
                  <a:extLst>
                    <a:ext uri="{63B3BB69-23CF-44E3-9099-C40C66FF867C}">
                      <a14:compatExt spid="_x0000_s9235"/>
                    </a:ext>
                  </a:extLst>
                </xdr:cNvPr>
                <xdr:cNvSpPr/>
              </xdr:nvSpPr>
              <xdr:spPr>
                <a:xfrm>
                  <a:off x="2662238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Gauntlets</a:t>
                  </a:r>
                </a:p>
              </xdr:txBody>
            </xdr:sp>
            <xdr:sp macro="" textlink="">
              <xdr:nvSpPr>
                <xdr:cNvPr id="9236" name="LeatherCuisse1" hidden="1">
                  <a:extLst>
                    <a:ext uri="{63B3BB69-23CF-44E3-9099-C40C66FF867C}">
                      <a14:compatExt spid="_x0000_s9236"/>
                    </a:ext>
                  </a:extLst>
                </xdr:cNvPr>
                <xdr:cNvSpPr/>
              </xdr:nvSpPr>
              <xdr:spPr>
                <a:xfrm>
                  <a:off x="3993357" y="3324224"/>
                  <a:ext cx="97753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Cuisse</a:t>
                  </a:r>
                </a:p>
              </xdr:txBody>
            </xdr:sp>
            <xdr:sp macro="" textlink="">
              <xdr:nvSpPr>
                <xdr:cNvPr id="9237" name="LeatherBoots1" hidden="1">
                  <a:extLst>
                    <a:ext uri="{63B3BB69-23CF-44E3-9099-C40C66FF867C}">
                      <a14:compatExt spid="_x0000_s9237"/>
                    </a:ext>
                  </a:extLst>
                </xdr:cNvPr>
                <xdr:cNvSpPr/>
              </xdr:nvSpPr>
              <xdr:spPr>
                <a:xfrm>
                  <a:off x="5191125" y="3324224"/>
                  <a:ext cx="749589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Boots</a:t>
                  </a:r>
                </a:p>
              </xdr:txBody>
            </xdr:sp>
          </xdr:grpSp>
          <xdr:sp macro="" textlink="">
            <xdr:nvSpPr>
              <xdr:cNvPr id="9300" name="Head1" hidden="1">
                <a:extLst>
                  <a:ext uri="{63B3BB69-23CF-44E3-9099-C40C66FF867C}">
                    <a14:compatExt spid="_x0000_s9300"/>
                  </a:ext>
                </a:extLst>
              </xdr:cNvPr>
              <xdr:cNvSpPr/>
            </xdr:nvSpPr>
            <xdr:spPr>
              <a:xfrm>
                <a:off x="381000" y="3705225"/>
                <a:ext cx="1257300" cy="16383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01" name="Chest1" hidden="1">
                <a:extLst>
                  <a:ext uri="{63B3BB69-23CF-44E3-9099-C40C66FF867C}">
                    <a14:compatExt spid="_x0000_s9301"/>
                  </a:ext>
                </a:extLst>
              </xdr:cNvPr>
              <xdr:cNvSpPr/>
            </xdr:nvSpPr>
            <xdr:spPr>
              <a:xfrm>
                <a:off x="1752600" y="3705225"/>
                <a:ext cx="13049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Chest</a:t>
                </a:r>
              </a:p>
            </xdr:txBody>
          </xdr:sp>
          <xdr:sp macro="" textlink="">
            <xdr:nvSpPr>
              <xdr:cNvPr id="9302" name="Arms1" hidden="1">
                <a:extLst>
                  <a:ext uri="{63B3BB69-23CF-44E3-9099-C40C66FF867C}">
                    <a14:compatExt spid="_x0000_s9302"/>
                  </a:ext>
                </a:extLst>
              </xdr:cNvPr>
              <xdr:cNvSpPr/>
            </xdr:nvSpPr>
            <xdr:spPr>
              <a:xfrm>
                <a:off x="3152775" y="3695700"/>
                <a:ext cx="136207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06" name="Legs1" hidden="1">
                <a:extLst>
                  <a:ext uri="{63B3BB69-23CF-44E3-9099-C40C66FF867C}">
                    <a14:compatExt spid="_x0000_s9306"/>
                  </a:ext>
                </a:extLst>
              </xdr:cNvPr>
              <xdr:cNvSpPr/>
            </xdr:nvSpPr>
            <xdr:spPr>
              <a:xfrm>
                <a:off x="4638675" y="3705225"/>
                <a:ext cx="1333500" cy="16097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  <xdr:sp macro="" textlink="">
            <xdr:nvSpPr>
              <xdr:cNvPr id="9304" name="Feet1" hidden="1">
                <a:extLst>
                  <a:ext uri="{63B3BB69-23CF-44E3-9099-C40C66FF867C}">
                    <a14:compatExt spid="_x0000_s9304"/>
                  </a:ext>
                </a:extLst>
              </xdr:cNvPr>
              <xdr:cNvSpPr/>
            </xdr:nvSpPr>
            <xdr:spPr>
              <a:xfrm>
                <a:off x="6096000" y="3695700"/>
                <a:ext cx="12668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Feet</a:t>
                </a:r>
              </a:p>
            </xdr:txBody>
          </xdr:sp>
          <xdr:sp macro="" textlink="">
            <xdr:nvSpPr>
              <xdr:cNvPr id="9314" name="Player1Group" hidden="1">
                <a:extLst>
                  <a:ext uri="{63B3BB69-23CF-44E3-9099-C40C66FF867C}">
                    <a14:compatExt spid="_x0000_s9314"/>
                  </a:ext>
                </a:extLst>
              </xdr:cNvPr>
              <xdr:cNvSpPr/>
            </xdr:nvSpPr>
            <xdr:spPr>
              <a:xfrm>
                <a:off x="161925" y="3429000"/>
                <a:ext cx="7439025" cy="43815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1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14</xdr:row>
          <xdr:rowOff>147636</xdr:rowOff>
        </xdr:from>
        <xdr:to>
          <xdr:col>7</xdr:col>
          <xdr:colOff>457207</xdr:colOff>
          <xdr:row>15</xdr:row>
          <xdr:rowOff>171449</xdr:rowOff>
        </xdr:to>
        <xdr:grpSp>
          <xdr:nvGrpSpPr>
            <xdr:cNvPr id="7" name="hard"/>
            <xdr:cNvGrpSpPr/>
          </xdr:nvGrpSpPr>
          <xdr:grpSpPr>
            <a:xfrm>
              <a:off x="4419600" y="2824161"/>
              <a:ext cx="2095507" cy="214313"/>
              <a:chOff x="247650" y="2624136"/>
              <a:chExt cx="1475867" cy="214313"/>
            </a:xfrm>
          </xdr:grpSpPr>
          <xdr:sp macro="" textlink="">
            <xdr:nvSpPr>
              <xdr:cNvPr id="9229" name="Ogre" hidden="1">
                <a:extLst>
                  <a:ext uri="{63B3BB69-23CF-44E3-9099-C40C66FF867C}">
                    <a14:compatExt spid="_x0000_s9229"/>
                  </a:ext>
                </a:extLst>
              </xdr:cNvPr>
              <xdr:cNvSpPr/>
            </xdr:nvSpPr>
            <xdr:spPr>
              <a:xfrm>
                <a:off x="247650" y="2624137"/>
                <a:ext cx="355549" cy="204788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Ogre</a:t>
                </a:r>
              </a:p>
            </xdr:txBody>
          </xdr:sp>
          <xdr:sp macro="" textlink="">
            <xdr:nvSpPr>
              <xdr:cNvPr id="9230" name="Giant" hidden="1">
                <a:extLst>
                  <a:ext uri="{63B3BB69-23CF-44E3-9099-C40C66FF867C}">
                    <a14:compatExt spid="_x0000_s9230"/>
                  </a:ext>
                </a:extLst>
              </xdr:cNvPr>
              <xdr:cNvSpPr/>
            </xdr:nvSpPr>
            <xdr:spPr>
              <a:xfrm>
                <a:off x="740437" y="2624136"/>
                <a:ext cx="352481" cy="214313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Giant</a:t>
                </a:r>
              </a:p>
            </xdr:txBody>
          </xdr:sp>
          <xdr:sp macro="" textlink="">
            <xdr:nvSpPr>
              <xdr:cNvPr id="9231" name="Cyclops" hidden="1">
                <a:extLst>
                  <a:ext uri="{63B3BB69-23CF-44E3-9099-C40C66FF867C}">
                    <a14:compatExt spid="_x0000_s9231"/>
                  </a:ext>
                </a:extLst>
              </xdr:cNvPr>
              <xdr:cNvSpPr/>
            </xdr:nvSpPr>
            <xdr:spPr>
              <a:xfrm>
                <a:off x="1253348" y="2624137"/>
                <a:ext cx="470169" cy="204788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Cyclops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12</xdr:row>
          <xdr:rowOff>28575</xdr:rowOff>
        </xdr:from>
        <xdr:to>
          <xdr:col>8</xdr:col>
          <xdr:colOff>180965</xdr:colOff>
          <xdr:row>13</xdr:row>
          <xdr:rowOff>95250</xdr:rowOff>
        </xdr:to>
        <xdr:grpSp>
          <xdr:nvGrpSpPr>
            <xdr:cNvPr id="5" name="normal"/>
            <xdr:cNvGrpSpPr/>
          </xdr:nvGrpSpPr>
          <xdr:grpSpPr>
            <a:xfrm>
              <a:off x="4419600" y="2324100"/>
              <a:ext cx="2790815" cy="257175"/>
              <a:chOff x="361950" y="1908175"/>
              <a:chExt cx="2132039" cy="257175"/>
            </a:xfrm>
          </xdr:grpSpPr>
          <xdr:sp macro="" textlink="">
            <xdr:nvSpPr>
              <xdr:cNvPr id="9225" name="Goblin" hidden="1">
                <a:extLst>
                  <a:ext uri="{63B3BB69-23CF-44E3-9099-C40C66FF867C}">
                    <a14:compatExt spid="_x0000_s9225"/>
                  </a:ext>
                </a:extLst>
              </xdr:cNvPr>
              <xdr:cNvSpPr/>
            </xdr:nvSpPr>
            <xdr:spPr>
              <a:xfrm>
                <a:off x="361950" y="1943100"/>
                <a:ext cx="451150" cy="2222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Goblin</a:t>
                </a:r>
              </a:p>
            </xdr:txBody>
          </xdr:sp>
          <xdr:sp macro="" textlink="">
            <xdr:nvSpPr>
              <xdr:cNvPr id="9226" name="Gremlin" hidden="1">
                <a:extLst>
                  <a:ext uri="{63B3BB69-23CF-44E3-9099-C40C66FF867C}">
                    <a14:compatExt spid="_x0000_s9226"/>
                  </a:ext>
                </a:extLst>
              </xdr:cNvPr>
              <xdr:cNvSpPr/>
            </xdr:nvSpPr>
            <xdr:spPr>
              <a:xfrm>
                <a:off x="895193" y="1943099"/>
                <a:ext cx="521865" cy="212726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Gremlin</a:t>
                </a:r>
              </a:p>
            </xdr:txBody>
          </xdr:sp>
          <xdr:sp macro="" textlink="">
            <xdr:nvSpPr>
              <xdr:cNvPr id="9227" name="Ghost" hidden="1">
                <a:extLst>
                  <a:ext uri="{63B3BB69-23CF-44E3-9099-C40C66FF867C}">
                    <a14:compatExt spid="_x0000_s9227"/>
                  </a:ext>
                </a:extLst>
              </xdr:cNvPr>
              <xdr:cNvSpPr/>
            </xdr:nvSpPr>
            <xdr:spPr>
              <a:xfrm>
                <a:off x="1456483" y="1943100"/>
                <a:ext cx="433558" cy="2032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Ghost</a:t>
                </a:r>
              </a:p>
            </xdr:txBody>
          </xdr:sp>
          <xdr:sp macro="" textlink="">
            <xdr:nvSpPr>
              <xdr:cNvPr id="9228" name="Zombie" hidden="1">
                <a:extLst>
                  <a:ext uri="{63B3BB69-23CF-44E3-9099-C40C66FF867C}">
                    <a14:compatExt spid="_x0000_s9228"/>
                  </a:ext>
                </a:extLst>
              </xdr:cNvPr>
              <xdr:cNvSpPr/>
            </xdr:nvSpPr>
            <xdr:spPr>
              <a:xfrm>
                <a:off x="2003267" y="1908175"/>
                <a:ext cx="490722" cy="2444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Zombie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114302</xdr:colOff>
          <xdr:row>9</xdr:row>
          <xdr:rowOff>60325</xdr:rowOff>
        </xdr:from>
        <xdr:to>
          <xdr:col>9</xdr:col>
          <xdr:colOff>247652</xdr:colOff>
          <xdr:row>11</xdr:row>
          <xdr:rowOff>50800</xdr:rowOff>
        </xdr:to>
        <xdr:grpSp>
          <xdr:nvGrpSpPr>
            <xdr:cNvPr id="4" name="easy"/>
            <xdr:cNvGrpSpPr/>
          </xdr:nvGrpSpPr>
          <xdr:grpSpPr>
            <a:xfrm>
              <a:off x="4419602" y="1784350"/>
              <a:ext cx="3571875" cy="371475"/>
              <a:chOff x="276225" y="1476375"/>
              <a:chExt cx="2148166" cy="209550"/>
            </a:xfrm>
          </xdr:grpSpPr>
          <xdr:sp macro="" textlink="">
            <xdr:nvSpPr>
              <xdr:cNvPr id="9220" name="Rat" hidden="1">
                <a:extLst>
                  <a:ext uri="{63B3BB69-23CF-44E3-9099-C40C66FF867C}">
                    <a14:compatExt spid="_x0000_s9220"/>
                  </a:ext>
                </a:extLst>
              </xdr:cNvPr>
              <xdr:cNvSpPr/>
            </xdr:nvSpPr>
            <xdr:spPr>
              <a:xfrm>
                <a:off x="1142314" y="1476375"/>
                <a:ext cx="308241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Rat</a:t>
                </a:r>
              </a:p>
            </xdr:txBody>
          </xdr:sp>
          <xdr:sp macro="" textlink="">
            <xdr:nvSpPr>
              <xdr:cNvPr id="9221" name="Spider" hidden="1">
                <a:extLst>
                  <a:ext uri="{63B3BB69-23CF-44E3-9099-C40C66FF867C}">
                    <a14:compatExt spid="_x0000_s9221"/>
                  </a:ext>
                </a:extLst>
              </xdr:cNvPr>
              <xdr:cNvSpPr/>
            </xdr:nvSpPr>
            <xdr:spPr>
              <a:xfrm>
                <a:off x="276225" y="1476375"/>
                <a:ext cx="355162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Spider</a:t>
                </a:r>
              </a:p>
            </xdr:txBody>
          </xdr:sp>
          <xdr:sp macro="" textlink="">
            <xdr:nvSpPr>
              <xdr:cNvPr id="9222" name="Frog" hidden="1">
                <a:extLst>
                  <a:ext uri="{63B3BB69-23CF-44E3-9099-C40C66FF867C}">
                    <a14:compatExt spid="_x0000_s9222"/>
                  </a:ext>
                </a:extLst>
              </xdr:cNvPr>
              <xdr:cNvSpPr/>
            </xdr:nvSpPr>
            <xdr:spPr>
              <a:xfrm>
                <a:off x="697808" y="1476375"/>
                <a:ext cx="346021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Frog</a:t>
                </a:r>
              </a:p>
            </xdr:txBody>
          </xdr:sp>
          <xdr:sp macro="" textlink="">
            <xdr:nvSpPr>
              <xdr:cNvPr id="9223" name="Bat" hidden="1">
                <a:extLst>
                  <a:ext uri="{63B3BB69-23CF-44E3-9099-C40C66FF867C}">
                    <a14:compatExt spid="_x0000_s9223"/>
                  </a:ext>
                </a:extLst>
              </xdr:cNvPr>
              <xdr:cNvSpPr/>
            </xdr:nvSpPr>
            <xdr:spPr>
              <a:xfrm>
                <a:off x="2122979" y="1476375"/>
                <a:ext cx="301412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Bat</a:t>
                </a:r>
              </a:p>
            </xdr:txBody>
          </xdr:sp>
          <xdr:sp macro="" textlink="">
            <xdr:nvSpPr>
              <xdr:cNvPr id="9224" name="Salamander" hidden="1">
                <a:extLst>
                  <a:ext uri="{63B3BB69-23CF-44E3-9099-C40C66FF867C}">
                    <a14:compatExt spid="_x0000_s9224"/>
                  </a:ext>
                </a:extLst>
              </xdr:cNvPr>
              <xdr:cNvSpPr/>
            </xdr:nvSpPr>
            <xdr:spPr>
              <a:xfrm>
                <a:off x="1572073" y="1476375"/>
                <a:ext cx="491428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Salamander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</xdr:row>
          <xdr:rowOff>104775</xdr:rowOff>
        </xdr:from>
        <xdr:to>
          <xdr:col>6</xdr:col>
          <xdr:colOff>19050</xdr:colOff>
          <xdr:row>8</xdr:row>
          <xdr:rowOff>123825</xdr:rowOff>
        </xdr:to>
        <xdr:sp macro="" textlink="">
          <xdr:nvSpPr>
            <xdr:cNvPr id="9219" name="Player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Player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9</xdr:col>
          <xdr:colOff>361950</xdr:colOff>
          <xdr:row>17</xdr:row>
          <xdr:rowOff>0</xdr:rowOff>
        </xdr:to>
        <xdr:sp macro="" textlink="">
          <xdr:nvSpPr>
            <xdr:cNvPr id="9298" name="Enemy" hidden="1">
              <a:extLst>
                <a:ext uri="{63B3BB69-23CF-44E3-9099-C40C66FF867C}">
                  <a14:compatExt spid="_x0000_s9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Enemy</a:t>
              </a:r>
            </a:p>
          </xdr:txBody>
        </xdr:sp>
        <xdr:clientData/>
      </xdr:twoCellAnchor>
    </mc:Choice>
    <mc:Fallback/>
  </mc:AlternateContent>
  <xdr:twoCellAnchor>
    <xdr:from>
      <xdr:col>10</xdr:col>
      <xdr:colOff>180975</xdr:colOff>
      <xdr:row>11</xdr:row>
      <xdr:rowOff>38100</xdr:rowOff>
    </xdr:from>
    <xdr:to>
      <xdr:col>11</xdr:col>
      <xdr:colOff>533399</xdr:colOff>
      <xdr:row>12</xdr:row>
      <xdr:rowOff>123825</xdr:rowOff>
    </xdr:to>
    <xdr:sp macro="[0]!determineFirstAttackButton" textlink="">
      <xdr:nvSpPr>
        <xdr:cNvPr id="14" name="firstAttackButton"/>
        <xdr:cNvSpPr/>
      </xdr:nvSpPr>
      <xdr:spPr>
        <a:xfrm>
          <a:off x="4733925" y="2133600"/>
          <a:ext cx="1390649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determineFirstAttack</a:t>
          </a:r>
        </a:p>
      </xdr:txBody>
    </xdr:sp>
    <xdr:clientData/>
  </xdr:twoCellAnchor>
  <xdr:twoCellAnchor>
    <xdr:from>
      <xdr:col>13</xdr:col>
      <xdr:colOff>276224</xdr:colOff>
      <xdr:row>11</xdr:row>
      <xdr:rowOff>38100</xdr:rowOff>
    </xdr:from>
    <xdr:to>
      <xdr:col>14</xdr:col>
      <xdr:colOff>371474</xdr:colOff>
      <xdr:row>12</xdr:row>
      <xdr:rowOff>123825</xdr:rowOff>
    </xdr:to>
    <xdr:sp macro="[0]!parrySuccessButton" textlink="">
      <xdr:nvSpPr>
        <xdr:cNvPr id="144" name="P1_Success"/>
        <xdr:cNvSpPr/>
      </xdr:nvSpPr>
      <xdr:spPr>
        <a:xfrm>
          <a:off x="11877674" y="2143125"/>
          <a:ext cx="1009650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parrySuccess</a:t>
          </a:r>
        </a:p>
      </xdr:txBody>
    </xdr:sp>
    <xdr:clientData/>
  </xdr:twoCellAnchor>
  <xdr:twoCellAnchor>
    <xdr:from>
      <xdr:col>16</xdr:col>
      <xdr:colOff>323850</xdr:colOff>
      <xdr:row>11</xdr:row>
      <xdr:rowOff>47625</xdr:rowOff>
    </xdr:from>
    <xdr:to>
      <xdr:col>17</xdr:col>
      <xdr:colOff>371475</xdr:colOff>
      <xdr:row>12</xdr:row>
      <xdr:rowOff>133350</xdr:rowOff>
    </xdr:to>
    <xdr:sp macro="[0]!calcHitSuccessButton" textlink="">
      <xdr:nvSpPr>
        <xdr:cNvPr id="146" name="Hit Success"/>
        <xdr:cNvSpPr/>
      </xdr:nvSpPr>
      <xdr:spPr>
        <a:xfrm>
          <a:off x="14058900" y="2152650"/>
          <a:ext cx="885825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Hit Success</a:t>
          </a:r>
        </a:p>
      </xdr:txBody>
    </xdr:sp>
    <xdr:clientData/>
  </xdr:twoCellAnchor>
  <xdr:twoCellAnchor>
    <xdr:from>
      <xdr:col>10</xdr:col>
      <xdr:colOff>733423</xdr:colOff>
      <xdr:row>6</xdr:row>
      <xdr:rowOff>47625</xdr:rowOff>
    </xdr:from>
    <xdr:to>
      <xdr:col>11</xdr:col>
      <xdr:colOff>323849</xdr:colOff>
      <xdr:row>7</xdr:row>
      <xdr:rowOff>133350</xdr:rowOff>
    </xdr:to>
    <xdr:sp macro="[0]!attackButton" textlink="">
      <xdr:nvSpPr>
        <xdr:cNvPr id="164" name="Head"/>
        <xdr:cNvSpPr/>
      </xdr:nvSpPr>
      <xdr:spPr>
        <a:xfrm>
          <a:off x="9086848" y="1200150"/>
          <a:ext cx="647701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Attack</a:t>
          </a:r>
        </a:p>
      </xdr:txBody>
    </xdr:sp>
    <xdr:clientData/>
  </xdr:twoCellAnchor>
  <xdr:twoCellAnchor>
    <xdr:from>
      <xdr:col>15</xdr:col>
      <xdr:colOff>228599</xdr:colOff>
      <xdr:row>0</xdr:row>
      <xdr:rowOff>47625</xdr:rowOff>
    </xdr:from>
    <xdr:to>
      <xdr:col>16</xdr:col>
      <xdr:colOff>619124</xdr:colOff>
      <xdr:row>1</xdr:row>
      <xdr:rowOff>133350</xdr:rowOff>
    </xdr:to>
    <xdr:sp macro="[0]!potionsEffectsButton" textlink="">
      <xdr:nvSpPr>
        <xdr:cNvPr id="169" name="Potion Effects"/>
        <xdr:cNvSpPr/>
      </xdr:nvSpPr>
      <xdr:spPr>
        <a:xfrm>
          <a:off x="13106399" y="47625"/>
          <a:ext cx="1000125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Potion Effects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14</xdr:row>
          <xdr:rowOff>28575</xdr:rowOff>
        </xdr:from>
        <xdr:to>
          <xdr:col>1</xdr:col>
          <xdr:colOff>1009650</xdr:colOff>
          <xdr:row>16</xdr:row>
          <xdr:rowOff>57150</xdr:rowOff>
        </xdr:to>
        <xdr:grpSp>
          <xdr:nvGrpSpPr>
            <xdr:cNvPr id="16" name="AttackerGroup"/>
            <xdr:cNvGrpSpPr/>
          </xdr:nvGrpSpPr>
          <xdr:grpSpPr>
            <a:xfrm>
              <a:off x="285750" y="2705100"/>
              <a:ext cx="1057275" cy="409575"/>
              <a:chOff x="285750" y="2705100"/>
              <a:chExt cx="1057275" cy="409575"/>
            </a:xfrm>
          </xdr:grpSpPr>
          <xdr:sp macro="" textlink="">
            <xdr:nvSpPr>
              <xdr:cNvPr id="9362" name="Player1Attacks" hidden="1">
                <a:extLst>
                  <a:ext uri="{63B3BB69-23CF-44E3-9099-C40C66FF867C}">
                    <a14:compatExt spid="_x0000_s9362"/>
                  </a:ext>
                </a:extLst>
              </xdr:cNvPr>
              <xdr:cNvSpPr/>
            </xdr:nvSpPr>
            <xdr:spPr>
              <a:xfrm>
                <a:off x="285750" y="2705100"/>
                <a:ext cx="10572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1 Attacks</a:t>
                </a:r>
              </a:p>
            </xdr:txBody>
          </xdr:sp>
          <xdr:sp macro="" textlink="">
            <xdr:nvSpPr>
              <xdr:cNvPr id="9363" name="Player2Attacks" hidden="1">
                <a:extLst>
                  <a:ext uri="{63B3BB69-23CF-44E3-9099-C40C66FF867C}">
                    <a14:compatExt spid="_x0000_s9363"/>
                  </a:ext>
                </a:extLst>
              </xdr:cNvPr>
              <xdr:cNvSpPr/>
            </xdr:nvSpPr>
            <xdr:spPr>
              <a:xfrm>
                <a:off x="285750" y="2905125"/>
                <a:ext cx="10572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2 Attacks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10</xdr:row>
          <xdr:rowOff>114300</xdr:rowOff>
        </xdr:from>
        <xdr:to>
          <xdr:col>2</xdr:col>
          <xdr:colOff>828676</xdr:colOff>
          <xdr:row>11</xdr:row>
          <xdr:rowOff>171450</xdr:rowOff>
        </xdr:to>
        <xdr:grpSp>
          <xdr:nvGrpSpPr>
            <xdr:cNvPr id="15" name="AttackTypeGroup"/>
            <xdr:cNvGrpSpPr/>
          </xdr:nvGrpSpPr>
          <xdr:grpSpPr>
            <a:xfrm>
              <a:off x="304800" y="2028825"/>
              <a:ext cx="2247901" cy="247650"/>
              <a:chOff x="304800" y="2028825"/>
              <a:chExt cx="2247901" cy="247650"/>
            </a:xfrm>
          </xdr:grpSpPr>
          <xdr:sp macro="" textlink="">
            <xdr:nvSpPr>
              <xdr:cNvPr id="9364" name="HeadAttack" hidden="1">
                <a:extLst>
                  <a:ext uri="{63B3BB69-23CF-44E3-9099-C40C66FF867C}">
                    <a14:compatExt spid="_x0000_s9364"/>
                  </a:ext>
                </a:extLst>
              </xdr:cNvPr>
              <xdr:cNvSpPr/>
            </xdr:nvSpPr>
            <xdr:spPr>
              <a:xfrm>
                <a:off x="952500" y="2028825"/>
                <a:ext cx="504825" cy="2476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65" name="TorsoAttack" hidden="1">
                <a:extLst>
                  <a:ext uri="{63B3BB69-23CF-44E3-9099-C40C66FF867C}">
                    <a14:compatExt spid="_x0000_s9365"/>
                  </a:ext>
                </a:extLst>
              </xdr:cNvPr>
              <xdr:cNvSpPr/>
            </xdr:nvSpPr>
            <xdr:spPr>
              <a:xfrm>
                <a:off x="304800" y="2047875"/>
                <a:ext cx="5619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Torso</a:t>
                </a:r>
              </a:p>
            </xdr:txBody>
          </xdr:sp>
          <xdr:sp macro="" textlink="">
            <xdr:nvSpPr>
              <xdr:cNvPr id="9366" name="ArmsAttack" hidden="1">
                <a:extLst>
                  <a:ext uri="{63B3BB69-23CF-44E3-9099-C40C66FF867C}">
                    <a14:compatExt spid="_x0000_s9366"/>
                  </a:ext>
                </a:extLst>
              </xdr:cNvPr>
              <xdr:cNvSpPr/>
            </xdr:nvSpPr>
            <xdr:spPr>
              <a:xfrm>
                <a:off x="1514476" y="2047875"/>
                <a:ext cx="4762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67" name="LegsAttack" hidden="1">
                <a:extLst>
                  <a:ext uri="{63B3BB69-23CF-44E3-9099-C40C66FF867C}">
                    <a14:compatExt spid="_x0000_s9367"/>
                  </a:ext>
                </a:extLst>
              </xdr:cNvPr>
              <xdr:cNvSpPr/>
            </xdr:nvSpPr>
            <xdr:spPr>
              <a:xfrm>
                <a:off x="2076451" y="2043113"/>
                <a:ext cx="4762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13</xdr:row>
          <xdr:rowOff>66675</xdr:rowOff>
        </xdr:from>
        <xdr:to>
          <xdr:col>1</xdr:col>
          <xdr:colOff>1076325</xdr:colOff>
          <xdr:row>17</xdr:row>
          <xdr:rowOff>0</xdr:rowOff>
        </xdr:to>
        <xdr:sp macro="" textlink="">
          <xdr:nvSpPr>
            <xdr:cNvPr id="9370" name="Attacker" hidden="1">
              <a:extLst>
                <a:ext uri="{63B3BB69-23CF-44E3-9099-C40C66FF867C}">
                  <a14:compatExt spid="_x0000_s9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Attacker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10</xdr:row>
          <xdr:rowOff>0</xdr:rowOff>
        </xdr:from>
        <xdr:to>
          <xdr:col>2</xdr:col>
          <xdr:colOff>990600</xdr:colOff>
          <xdr:row>12</xdr:row>
          <xdr:rowOff>104775</xdr:rowOff>
        </xdr:to>
        <xdr:sp macro="" textlink="">
          <xdr:nvSpPr>
            <xdr:cNvPr id="9371" name="AttackType" hidden="1">
              <a:extLst>
                <a:ext uri="{63B3BB69-23CF-44E3-9099-C40C66FF867C}">
                  <a14:compatExt spid="_x0000_s9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Attack Type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352426</xdr:colOff>
      <xdr:row>16</xdr:row>
      <xdr:rowOff>28575</xdr:rowOff>
    </xdr:from>
    <xdr:to>
      <xdr:col>3</xdr:col>
      <xdr:colOff>1628776</xdr:colOff>
      <xdr:row>17</xdr:row>
      <xdr:rowOff>142875</xdr:rowOff>
    </xdr:to>
    <xdr:sp macro="[0]!testCreatureSpeed" textlink="">
      <xdr:nvSpPr>
        <xdr:cNvPr id="2" name="Rectangle 1"/>
        <xdr:cNvSpPr/>
      </xdr:nvSpPr>
      <xdr:spPr>
        <a:xfrm>
          <a:off x="3009901" y="3152775"/>
          <a:ext cx="127635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calcCreatureSpeed</a:t>
          </a:r>
        </a:p>
      </xdr:txBody>
    </xdr:sp>
    <xdr:clientData/>
  </xdr:twoCellAnchor>
  <xdr:twoCellAnchor>
    <xdr:from>
      <xdr:col>3</xdr:col>
      <xdr:colOff>333374</xdr:colOff>
      <xdr:row>27</xdr:row>
      <xdr:rowOff>38100</xdr:rowOff>
    </xdr:from>
    <xdr:to>
      <xdr:col>3</xdr:col>
      <xdr:colOff>1676399</xdr:colOff>
      <xdr:row>28</xdr:row>
      <xdr:rowOff>152400</xdr:rowOff>
    </xdr:to>
    <xdr:sp macro="[0]!testSpeedBasedSuccess" textlink="">
      <xdr:nvSpPr>
        <xdr:cNvPr id="3" name="Rectangle 2"/>
        <xdr:cNvSpPr/>
      </xdr:nvSpPr>
      <xdr:spPr>
        <a:xfrm>
          <a:off x="2990849" y="5715000"/>
          <a:ext cx="13430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speedBasedSuccess</a:t>
          </a:r>
        </a:p>
      </xdr:txBody>
    </xdr:sp>
    <xdr:clientData/>
  </xdr:twoCellAnchor>
  <xdr:twoCellAnchor>
    <xdr:from>
      <xdr:col>3</xdr:col>
      <xdr:colOff>304800</xdr:colOff>
      <xdr:row>38</xdr:row>
      <xdr:rowOff>38100</xdr:rowOff>
    </xdr:from>
    <xdr:to>
      <xdr:col>3</xdr:col>
      <xdr:colOff>1724025</xdr:colOff>
      <xdr:row>39</xdr:row>
      <xdr:rowOff>152400</xdr:rowOff>
    </xdr:to>
    <xdr:sp macro="[0]!testDetermineFirstAttack" textlink="">
      <xdr:nvSpPr>
        <xdr:cNvPr id="4" name="Rectangle 3"/>
        <xdr:cNvSpPr/>
      </xdr:nvSpPr>
      <xdr:spPr>
        <a:xfrm>
          <a:off x="3057525" y="7505700"/>
          <a:ext cx="14192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determineFirstAttack</a:t>
          </a:r>
        </a:p>
      </xdr:txBody>
    </xdr:sp>
    <xdr:clientData/>
  </xdr:twoCellAnchor>
  <xdr:twoCellAnchor>
    <xdr:from>
      <xdr:col>3</xdr:col>
      <xdr:colOff>285750</xdr:colOff>
      <xdr:row>49</xdr:row>
      <xdr:rowOff>38100</xdr:rowOff>
    </xdr:from>
    <xdr:to>
      <xdr:col>3</xdr:col>
      <xdr:colOff>1704975</xdr:colOff>
      <xdr:row>50</xdr:row>
      <xdr:rowOff>152400</xdr:rowOff>
    </xdr:to>
    <xdr:sp macro="[0]!testParrySuccess" textlink="">
      <xdr:nvSpPr>
        <xdr:cNvPr id="5" name="Rectangle 4"/>
        <xdr:cNvSpPr/>
      </xdr:nvSpPr>
      <xdr:spPr>
        <a:xfrm>
          <a:off x="3105150" y="9677400"/>
          <a:ext cx="14192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parrySuccess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6</xdr:row>
      <xdr:rowOff>38100</xdr:rowOff>
    </xdr:from>
    <xdr:to>
      <xdr:col>3</xdr:col>
      <xdr:colOff>1523999</xdr:colOff>
      <xdr:row>7</xdr:row>
      <xdr:rowOff>152400</xdr:rowOff>
    </xdr:to>
    <xdr:sp macro="[0]!testcalcCreatureAccuracy" textlink="">
      <xdr:nvSpPr>
        <xdr:cNvPr id="2" name="Rectangle 1"/>
        <xdr:cNvSpPr/>
      </xdr:nvSpPr>
      <xdr:spPr>
        <a:xfrm>
          <a:off x="2667000" y="12573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calcCreatureAccuracy</a:t>
          </a:r>
        </a:p>
      </xdr:txBody>
    </xdr:sp>
    <xdr:clientData/>
  </xdr:twoCellAnchor>
  <xdr:twoCellAnchor>
    <xdr:from>
      <xdr:col>3</xdr:col>
      <xdr:colOff>171450</xdr:colOff>
      <xdr:row>24</xdr:row>
      <xdr:rowOff>38100</xdr:rowOff>
    </xdr:from>
    <xdr:to>
      <xdr:col>3</xdr:col>
      <xdr:colOff>1581149</xdr:colOff>
      <xdr:row>25</xdr:row>
      <xdr:rowOff>152400</xdr:rowOff>
    </xdr:to>
    <xdr:sp macro="[0]!testCalcHitSuccess" textlink="">
      <xdr:nvSpPr>
        <xdr:cNvPr id="3" name="Rectangle 2"/>
        <xdr:cNvSpPr/>
      </xdr:nvSpPr>
      <xdr:spPr>
        <a:xfrm>
          <a:off x="2724150" y="47625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calcHitSuccess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22</xdr:row>
      <xdr:rowOff>38100</xdr:rowOff>
    </xdr:from>
    <xdr:to>
      <xdr:col>3</xdr:col>
      <xdr:colOff>1600199</xdr:colOff>
      <xdr:row>23</xdr:row>
      <xdr:rowOff>152400</xdr:rowOff>
    </xdr:to>
    <xdr:sp macro="[0]!testCalcHealthDamage" textlink="">
      <xdr:nvSpPr>
        <xdr:cNvPr id="2" name="Rectangle 1"/>
        <xdr:cNvSpPr/>
      </xdr:nvSpPr>
      <xdr:spPr>
        <a:xfrm>
          <a:off x="2743200" y="4314825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calcHealthDamage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15</xdr:row>
      <xdr:rowOff>38100</xdr:rowOff>
    </xdr:from>
    <xdr:to>
      <xdr:col>3</xdr:col>
      <xdr:colOff>1600199</xdr:colOff>
      <xdr:row>16</xdr:row>
      <xdr:rowOff>152400</xdr:rowOff>
    </xdr:to>
    <xdr:sp macro="[0]!testCalcAttributeDamage" textlink="">
      <xdr:nvSpPr>
        <xdr:cNvPr id="2" name="Rectangle 1"/>
        <xdr:cNvSpPr/>
      </xdr:nvSpPr>
      <xdr:spPr>
        <a:xfrm>
          <a:off x="2743200" y="4314825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calcAttributeDamage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11</xdr:row>
      <xdr:rowOff>38100</xdr:rowOff>
    </xdr:from>
    <xdr:to>
      <xdr:col>3</xdr:col>
      <xdr:colOff>1609724</xdr:colOff>
      <xdr:row>12</xdr:row>
      <xdr:rowOff>152400</xdr:rowOff>
    </xdr:to>
    <xdr:sp macro="[0]!testCalcPotionEffect" textlink="">
      <xdr:nvSpPr>
        <xdr:cNvPr id="2" name="Rectangle 1"/>
        <xdr:cNvSpPr/>
      </xdr:nvSpPr>
      <xdr:spPr>
        <a:xfrm>
          <a:off x="3219450" y="22098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calcPotionEffect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9" name="Table9" displayName="Table9" ref="A2:R8" tableType="xml" totalsRowShown="0" headerRowDxfId="97" headerRowBorderDxfId="96" connectionId="50">
  <autoFilter ref="A2:R8"/>
  <tableColumns count="18">
    <tableColumn id="1" uniqueName="Name" name="Name" dataDxfId="95">
      <xmlColumnPr mapId="80" xpath="/Rooms/Room/Name" xmlDataType="string"/>
    </tableColumn>
    <tableColumn id="2" uniqueName="Description" name="Description" dataDxfId="94">
      <xmlColumnPr mapId="80" xpath="/Rooms/Room/Description" xmlDataType="string"/>
    </tableColumn>
    <tableColumn id="3" uniqueName="N" name="N" dataDxfId="93">
      <xmlColumnPr mapId="80" xpath="/Rooms/Room/Door_Positions/N" xmlDataType="integer"/>
    </tableColumn>
    <tableColumn id="4" uniqueName="E" name="E" dataDxfId="92">
      <xmlColumnPr mapId="80" xpath="/Rooms/Room/Door_Positions/E" xmlDataType="integer"/>
    </tableColumn>
    <tableColumn id="5" uniqueName="S" name="S" dataDxfId="91">
      <xmlColumnPr mapId="80" xpath="/Rooms/Room/Door_Positions/S" xmlDataType="integer"/>
    </tableColumn>
    <tableColumn id="6" uniqueName="W" name="W" dataDxfId="90">
      <xmlColumnPr mapId="80" xpath="/Rooms/Room/Door_Positions/W" xmlDataType="integer"/>
    </tableColumn>
    <tableColumn id="7" uniqueName="no" name="no" dataDxfId="89">
      <xmlColumnPr mapId="80" xpath="/Rooms/Room/Monster/no" xmlDataType="integer"/>
    </tableColumn>
    <tableColumn id="8" uniqueName="easy" name="easy" dataDxfId="88">
      <xmlColumnPr mapId="80" xpath="/Rooms/Room/Monster/easy" xmlDataType="integer"/>
    </tableColumn>
    <tableColumn id="9" uniqueName="normal" name="normal" dataDxfId="87">
      <xmlColumnPr mapId="80" xpath="/Rooms/Room/Monster/normal" xmlDataType="integer"/>
    </tableColumn>
    <tableColumn id="10" uniqueName="hard" name="hard" dataDxfId="86">
      <xmlColumnPr mapId="80" xpath="/Rooms/Room/Monster/hard" xmlDataType="integer"/>
    </tableColumn>
    <tableColumn id="18" uniqueName="Monster_Count" name="Monster_Count" dataDxfId="85">
      <xmlColumnPr mapId="80" xpath="/Rooms/Room/Monster_Count" xmlDataType="integer"/>
    </tableColumn>
    <tableColumn id="11" uniqueName="Item_Multiplier" name="Item_Multiplier" dataDxfId="84">
      <xmlColumnPr mapId="80" xpath="/Rooms/Room/Item_Multiplier" xmlDataType="double"/>
    </tableColumn>
    <tableColumn id="17" uniqueName="none" name="none" dataDxfId="83">
      <xmlColumnPr mapId="80" xpath="/Rooms/Room/Find_Probabilities/none" xmlDataType="integer"/>
    </tableColumn>
    <tableColumn id="12" uniqueName="weak" name="weak" dataDxfId="82">
      <xmlColumnPr mapId="80" xpath="/Rooms/Room/Find_Probabilities/weak" xmlDataType="integer"/>
    </tableColumn>
    <tableColumn id="13" uniqueName="medium" name="medium" dataDxfId="81">
      <xmlColumnPr mapId="80" xpath="/Rooms/Room/Find_Probabilities/medium" xmlDataType="integer"/>
    </tableColumn>
    <tableColumn id="14" uniqueName="strong" name="strong" dataDxfId="80">
      <xmlColumnPr mapId="80" xpath="/Rooms/Room/Find_Probabilities/strong" xmlDataType="integer"/>
    </tableColumn>
    <tableColumn id="15" uniqueName="Item_Count" name="Item_Count" dataDxfId="79">
      <xmlColumnPr mapId="80" xpath="/Rooms/Room/Item_Count" xmlDataType="integer"/>
    </tableColumn>
    <tableColumn id="16" uniqueName="Image" name="Image" dataDxfId="78">
      <xmlColumnPr mapId="80" xpath="/Rooms/Room/Image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Table8" displayName="Table8" ref="A1:H5" tableType="xml" totalsRowShown="0" headerRowDxfId="77" dataDxfId="75" headerRowBorderDxfId="76" tableBorderDxfId="74" connectionId="18">
  <autoFilter ref="A1:H5"/>
  <tableColumns count="8">
    <tableColumn id="1" uniqueName="Name" name="Name" dataDxfId="73">
      <xmlColumnPr mapId="68" xpath="/Attacks/Attack/Name" xmlDataType="string"/>
    </tableColumn>
    <tableColumn id="8" uniqueName="Class_Multiplier" name="Class Multiplier" dataDxfId="72">
      <xmlColumnPr mapId="68" xpath="/Attacks/Attack/Class_Multiplier" xmlDataType="double"/>
    </tableColumn>
    <tableColumn id="6" uniqueName="Stats_Low_Multiplier" name="Stats Low Multiplier" dataDxfId="71">
      <xmlColumnPr mapId="68" xpath="/Attacks/Attack/Stats_Low_Multiplier" xmlDataType="double"/>
    </tableColumn>
    <tableColumn id="7" uniqueName="Stats_High_Multiplier" name="Stats High Multiplier" dataDxfId="70">
      <xmlColumnPr mapId="68" xpath="/Attacks/Attack/Stats_High_Multiplier" xmlDataType="double"/>
    </tableColumn>
    <tableColumn id="2" uniqueName="HP_Damage" name="HP Damage" dataDxfId="69">
      <xmlColumnPr mapId="68" xpath="/Attacks/Attack/HP_Damage" xmlDataType="double"/>
    </tableColumn>
    <tableColumn id="3" uniqueName="Hit_Probability" name="Hit Probability" dataDxfId="68">
      <xmlColumnPr mapId="68" xpath="/Attacks/Attack/Hit_Probability" xmlDataType="double"/>
    </tableColumn>
    <tableColumn id="4" uniqueName="Effect" name="Effect" dataDxfId="67">
      <xmlColumnPr mapId="68" xpath="/Attacks/Attack/Effect" xmlDataType="string"/>
    </tableColumn>
    <tableColumn id="5" uniqueName="x" name="x" dataDxfId="66">
      <xmlColumnPr mapId="68" xpath="/Attacks/Attack/x" xmlDataType="double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Table7" displayName="Table7" ref="A1:M13" tableType="xml" totalsRowShown="0" headerRowDxfId="65" dataDxfId="63" headerRowBorderDxfId="64" tableBorderDxfId="62" connectionId="21">
  <autoFilter ref="A1:M13"/>
  <tableColumns count="13">
    <tableColumn id="1" uniqueName="Name" name="Name" dataDxfId="61">
      <xmlColumnPr mapId="71" xpath="/Monsters/Monster/Name" xmlDataType="string"/>
    </tableColumn>
    <tableColumn id="2" uniqueName="Level" name="Level" dataDxfId="60">
      <xmlColumnPr mapId="71" xpath="/Monsters/Monster/Level" xmlDataType="string"/>
    </tableColumn>
    <tableColumn id="14" uniqueName="Class_Multiplier" name="Class Multiplier" dataDxfId="59">
      <xmlColumnPr mapId="71" xpath="/Monsters/Monster/Class_Multiplier" xmlDataType="double"/>
    </tableColumn>
    <tableColumn id="10" uniqueName="Stats_Low_Multiplier" name="Stats Low Multiplier" dataDxfId="58">
      <xmlColumnPr mapId="71" xpath="/Monsters/Monster/Stats_Low_Multiplier" xmlDataType="double"/>
    </tableColumn>
    <tableColumn id="13" uniqueName="Stats_High_Multiplier" name="Stats High Multiplier" dataDxfId="57">
      <xmlColumnPr mapId="71" xpath="/Monsters/Monster/Stats_High_Multiplier" xmlDataType="double"/>
    </tableColumn>
    <tableColumn id="3" uniqueName="HP" name="HP" dataDxfId="56">
      <xmlColumnPr mapId="71" xpath="/Monsters/Monster/HP" xmlDataType="integer"/>
    </tableColumn>
    <tableColumn id="4" uniqueName="Strength" name="Strength" dataDxfId="55">
      <xmlColumnPr mapId="71" xpath="/Monsters/Monster/Strength" xmlDataType="integer"/>
    </tableColumn>
    <tableColumn id="5" uniqueName="Speed" name="Speed" dataDxfId="54">
      <xmlColumnPr mapId="71" xpath="/Monsters/Monster/Speed" xmlDataType="integer"/>
    </tableColumn>
    <tableColumn id="6" uniqueName="Accuracy" name="Accuracy" dataDxfId="53">
      <xmlColumnPr mapId="71" xpath="/Monsters/Monster/Accuracy" xmlDataType="integer"/>
    </tableColumn>
    <tableColumn id="7" uniqueName="Kill_Bonus_Type" name="Kill Bonus Type" dataDxfId="52">
      <xmlColumnPr mapId="71" xpath="/Monsters/Monster/Kill_Bonus_Type" xmlDataType="string"/>
    </tableColumn>
    <tableColumn id="8" uniqueName="Kill_Bonus_Low" name="Kill Bonus Low" dataDxfId="51">
      <xmlColumnPr mapId="71" xpath="/Monsters/Monster/Kill_Bonus_Low" xmlDataType="integer"/>
    </tableColumn>
    <tableColumn id="9" uniqueName="Kill_Bonus_High" name="Kill Bonus High" dataDxfId="50">
      <xmlColumnPr mapId="71" xpath="/Monsters/Monster/Kill_Bonus_High" xmlDataType="integer"/>
    </tableColumn>
    <tableColumn id="11" uniqueName="Image" name="Image" dataDxfId="49">
      <xmlColumnPr mapId="71" xpath="/Monsters/Monster/Imag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e5" displayName="Table5" ref="A1:J16" tableType="xml" totalsRowShown="0" headerRowDxfId="48" dataDxfId="46" headerRowBorderDxfId="47" tableBorderDxfId="45" totalsRowBorderDxfId="44" connectionId="3">
  <autoFilter ref="A1:J16"/>
  <tableColumns count="10">
    <tableColumn id="1" uniqueName="Name" name="Name" dataDxfId="43">
      <xmlColumnPr mapId="74" xpath="/Armaments/Armament/Name" xmlDataType="string"/>
    </tableColumn>
    <tableColumn id="9" uniqueName="Item_Class" name="Item Class" dataDxfId="42">
      <xmlColumnPr mapId="74" xpath="/Armaments/Armament/Item_Class" xmlDataType="string"/>
    </tableColumn>
    <tableColumn id="10" uniqueName="Class_Multiplier" name="Class Multiplier" dataDxfId="41">
      <xmlColumnPr mapId="74" xpath="/Armaments/Armament/Class_Multiplier" xmlDataType="double"/>
    </tableColumn>
    <tableColumn id="6" uniqueName="Stats_Low_Multiplier" name="Stats Low Multiplier" dataDxfId="40">
      <xmlColumnPr mapId="74" xpath="/Armaments/Armament/Stats_Low_Multiplier" xmlDataType="double"/>
    </tableColumn>
    <tableColumn id="11" uniqueName="Stats_High_Multiplier" name="Stats High Multiplier" dataDxfId="39">
      <xmlColumnPr mapId="74" xpath="/Armaments/Armament/Stats_High_Multiplier" xmlDataType="double"/>
    </tableColumn>
    <tableColumn id="2" uniqueName="Armor" name="Armor" dataDxfId="38">
      <xmlColumnPr mapId="74" xpath="/Armaments/Armament/Armor" xmlDataType="integer"/>
    </tableColumn>
    <tableColumn id="3" uniqueName="Speed" name="Speed Malus" dataDxfId="37">
      <xmlColumnPr mapId="74" xpath="/Armaments/Armament/Speed" xmlDataType="integer"/>
    </tableColumn>
    <tableColumn id="4" uniqueName="Type" name="Type" dataDxfId="36">
      <xmlColumnPr mapId="74" xpath="/Armaments/Armament/Type" xmlDataType="string"/>
    </tableColumn>
    <tableColumn id="5" uniqueName="Bonus" name="Bonus" dataDxfId="35">
      <xmlColumnPr mapId="74" xpath="/Armaments/Armament/Bonus" xmlDataType="double"/>
    </tableColumn>
    <tableColumn id="7" uniqueName="Image" name="Image" dataDxfId="34">
      <xmlColumnPr mapId="74" xpath="/Armaments/Armament/Imag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Table1" displayName="Table1" ref="A1:L11" tableType="xml" totalsRowShown="0" headerRowDxfId="33" dataDxfId="31" headerRowBorderDxfId="32" tableBorderDxfId="30" totalsRowBorderDxfId="29" connectionId="32">
  <autoFilter ref="A1:L11"/>
  <tableColumns count="12">
    <tableColumn id="1" uniqueName="Name" name="Name" dataDxfId="28">
      <xmlColumnPr mapId="75" xpath="/Potions/Potion/Name" xmlDataType="string"/>
    </tableColumn>
    <tableColumn id="10" uniqueName="Item_Class" name="Item Class" dataDxfId="27">
      <xmlColumnPr mapId="75" xpath="/Potions/Potion/Item_Class" xmlDataType="string"/>
    </tableColumn>
    <tableColumn id="11" uniqueName="Class_Multiplier" name="Class Multiplier" dataDxfId="26">
      <xmlColumnPr mapId="75" xpath="/Potions/Potion/Class_Multiplier" xmlDataType="double"/>
    </tableColumn>
    <tableColumn id="12" uniqueName="Stats_Low_Multiplier" name="Stats Low Multiplier" dataDxfId="25">
      <xmlColumnPr mapId="75" xpath="/Potions/Potion/Stats_Low_Multiplier" xmlDataType="double"/>
    </tableColumn>
    <tableColumn id="13" uniqueName="Stats_High_Multiplier" name="Stats High Multiplier" dataDxfId="24">
      <xmlColumnPr mapId="75" xpath="/Potions/Potion/Stats_High_Multiplier" xmlDataType="double"/>
    </tableColumn>
    <tableColumn id="2" uniqueName="Description" name="Description" dataDxfId="23">
      <xmlColumnPr mapId="75" xpath="/Potions/Potion/Description" xmlDataType="string"/>
    </tableColumn>
    <tableColumn id="3" uniqueName="Target" name="Target" dataDxfId="22">
      <xmlColumnPr mapId="75" xpath="/Potions/Potion/Target" xmlDataType="string"/>
    </tableColumn>
    <tableColumn id="4" uniqueName="Effect" name="Effect" dataDxfId="21">
      <xmlColumnPr mapId="75" xpath="/Potions/Potion/Effect" xmlDataType="string"/>
    </tableColumn>
    <tableColumn id="5" uniqueName="Mode" name="Mode" dataDxfId="20">
      <xmlColumnPr mapId="75" xpath="/Potions/Potion/Mode" xmlDataType="string"/>
    </tableColumn>
    <tableColumn id="6" uniqueName="x" name="x" dataDxfId="19">
      <xmlColumnPr mapId="75" xpath="/Potions/Potion/x" xmlDataType="integer"/>
    </tableColumn>
    <tableColumn id="7" uniqueName="n" name="n" dataDxfId="18">
      <xmlColumnPr mapId="75" xpath="/Potions/Potion/n" xmlDataType="integer"/>
    </tableColumn>
    <tableColumn id="8" uniqueName="Image" name="Image" dataDxfId="17">
      <xmlColumnPr mapId="75" xpath="/Potions/Potion/Image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4" displayName="Table4" ref="A1:M9" tableType="xml" totalsRowShown="0" headerRowDxfId="16" dataDxfId="14" headerRowBorderDxfId="15" tableBorderDxfId="13" connectionId="57">
  <autoFilter ref="A1:M9"/>
  <tableColumns count="13">
    <tableColumn id="1" uniqueName="Name" name="Name" dataDxfId="12">
      <xmlColumnPr mapId="76" xpath="/Weapons/Weapon/Name" xmlDataType="string"/>
    </tableColumn>
    <tableColumn id="11" uniqueName="Item_Class" name="Item Class" dataDxfId="11">
      <xmlColumnPr mapId="76" xpath="/Weapons/Weapon/Item_Class" xmlDataType="string"/>
    </tableColumn>
    <tableColumn id="12" uniqueName="Class_Multiplier" name="Class Multiplier" dataDxfId="10">
      <xmlColumnPr mapId="76" xpath="/Weapons/Weapon/Class_Multiplier" xmlDataType="double"/>
    </tableColumn>
    <tableColumn id="13" uniqueName="Stats_Low_Multiplier" name="Stats Low Multiplier" dataDxfId="9">
      <xmlColumnPr mapId="76" xpath="/Weapons/Weapon/Stats_Low_Multiplier" xmlDataType="double"/>
    </tableColumn>
    <tableColumn id="14" uniqueName="Stats_High_Multiplier" name="Stats High Multiplier" dataDxfId="8">
      <xmlColumnPr mapId="76" xpath="/Weapons/Weapon/Stats_High_Multiplier" xmlDataType="double"/>
    </tableColumn>
    <tableColumn id="2" uniqueName="Attack" name="Attack" dataDxfId="7">
      <xmlColumnPr mapId="76" xpath="/Weapons/Weapon/Attack" xmlDataType="integer"/>
    </tableColumn>
    <tableColumn id="3" uniqueName="Speed" name="Speed" dataDxfId="6">
      <xmlColumnPr mapId="76" xpath="/Weapons/Weapon/Speed" xmlDataType="integer"/>
    </tableColumn>
    <tableColumn id="4" uniqueName="Accuracy" name="Accuracy" dataDxfId="5">
      <xmlColumnPr mapId="76" xpath="/Weapons/Weapon/Accuracy" xmlDataType="integer"/>
    </tableColumn>
    <tableColumn id="5" uniqueName="Defence" name="Defence" dataDxfId="4">
      <calculatedColumnFormula>"-"</calculatedColumnFormula>
      <xmlColumnPr mapId="76" xpath="/Weapons/Weapon/Defence" xmlDataType="integer"/>
    </tableColumn>
    <tableColumn id="6" uniqueName="Slots" name="Slots" dataDxfId="3">
      <xmlColumnPr mapId="76" xpath="/Weapons/Weapon/Slots" xmlDataType="integer"/>
    </tableColumn>
    <tableColumn id="7" uniqueName="Max" name="Max" dataDxfId="2">
      <xmlColumnPr mapId="76" xpath="/Weapons/Weapon/Max" xmlDataType="integer"/>
    </tableColumn>
    <tableColumn id="8" uniqueName="Type" name="Type" dataDxfId="1">
      <xmlColumnPr mapId="76" xpath="/Weapons/Weapon/Type" xmlDataType="string"/>
    </tableColumn>
    <tableColumn id="9" uniqueName="Image" name="Image" dataDxfId="0">
      <xmlColumnPr mapId="76" xpath="/Weapons/Weapon/Imag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5"/>
  <sheetViews>
    <sheetView workbookViewId="0">
      <selection activeCell="F6" sqref="F6"/>
    </sheetView>
  </sheetViews>
  <sheetFormatPr defaultRowHeight="15" x14ac:dyDescent="0.25"/>
  <sheetData>
    <row r="1" spans="1:1" x14ac:dyDescent="0.25">
      <c r="A1" t="s">
        <v>41</v>
      </c>
    </row>
    <row r="3" spans="1:1" x14ac:dyDescent="0.25">
      <c r="A3" t="s">
        <v>42</v>
      </c>
    </row>
    <row r="5" spans="1:1" x14ac:dyDescent="0.25">
      <c r="A5" t="s">
        <v>159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6"/>
  <sheetViews>
    <sheetView workbookViewId="0">
      <pane xSplit="1" topLeftCell="C1" activePane="topRight" state="frozen"/>
      <selection pane="topRight" activeCell="Q31" sqref="Q31"/>
    </sheetView>
  </sheetViews>
  <sheetFormatPr defaultRowHeight="15" x14ac:dyDescent="0.25"/>
  <cols>
    <col min="1" max="1" width="31" style="21" customWidth="1"/>
    <col min="2" max="2" width="25.140625" style="21" bestFit="1" customWidth="1"/>
    <col min="3" max="3" width="8.140625" style="26" customWidth="1"/>
    <col min="4" max="4" width="9.28515625" style="26" customWidth="1"/>
    <col min="5" max="5" width="9" style="26" customWidth="1"/>
    <col min="6" max="6" width="9.28515625" style="26" customWidth="1"/>
    <col min="7" max="7" width="10.7109375" style="26" customWidth="1"/>
    <col min="8" max="8" width="11.140625" style="26" customWidth="1"/>
    <col min="9" max="9" width="11.28515625" style="26" customWidth="1"/>
    <col min="10" max="10" width="13" style="26" customWidth="1"/>
    <col min="11" max="11" width="18.85546875" style="26" customWidth="1"/>
    <col min="12" max="12" width="21.85546875" style="27" bestFit="1" customWidth="1"/>
    <col min="13" max="13" width="11.5703125" style="26" customWidth="1"/>
    <col min="14" max="14" width="8" style="26" customWidth="1"/>
    <col min="15" max="15" width="14.28515625" style="26" bestFit="1" customWidth="1"/>
    <col min="16" max="16" width="8.85546875" style="26" customWidth="1"/>
    <col min="17" max="17" width="18.42578125" style="26" bestFit="1" customWidth="1"/>
    <col min="18" max="18" width="28.5703125" style="21" customWidth="1"/>
  </cols>
  <sheetData>
    <row r="1" spans="1:18" ht="15.75" thickBot="1" x14ac:dyDescent="0.3">
      <c r="A1" s="22"/>
      <c r="B1" s="22"/>
      <c r="C1" s="97" t="s">
        <v>120</v>
      </c>
      <c r="D1" s="98"/>
      <c r="E1" s="98"/>
      <c r="F1" s="99"/>
      <c r="G1" s="97" t="s">
        <v>117</v>
      </c>
      <c r="H1" s="98"/>
      <c r="I1" s="98"/>
      <c r="J1" s="99"/>
      <c r="K1" s="79"/>
      <c r="L1" s="29"/>
      <c r="M1" s="100" t="s">
        <v>149</v>
      </c>
      <c r="N1" s="101"/>
      <c r="O1" s="101"/>
      <c r="P1" s="102"/>
      <c r="Q1" s="36"/>
      <c r="R1" s="38"/>
    </row>
    <row r="2" spans="1:18" ht="15.75" thickBot="1" x14ac:dyDescent="0.3">
      <c r="A2" s="23" t="s">
        <v>40</v>
      </c>
      <c r="B2" s="24" t="s">
        <v>39</v>
      </c>
      <c r="C2" s="25" t="s">
        <v>122</v>
      </c>
      <c r="D2" s="25" t="s">
        <v>121</v>
      </c>
      <c r="E2" s="25" t="s">
        <v>123</v>
      </c>
      <c r="F2" s="25" t="s">
        <v>124</v>
      </c>
      <c r="G2" s="25" t="s">
        <v>118</v>
      </c>
      <c r="H2" s="35" t="s">
        <v>79</v>
      </c>
      <c r="I2" s="35" t="s">
        <v>80</v>
      </c>
      <c r="J2" s="35" t="s">
        <v>81</v>
      </c>
      <c r="K2" s="78" t="s">
        <v>206</v>
      </c>
      <c r="L2" s="30" t="s">
        <v>153</v>
      </c>
      <c r="M2" s="32" t="s">
        <v>158</v>
      </c>
      <c r="N2" s="32" t="s">
        <v>144</v>
      </c>
      <c r="O2" s="32" t="s">
        <v>145</v>
      </c>
      <c r="P2" s="32" t="s">
        <v>146</v>
      </c>
      <c r="Q2" s="37" t="s">
        <v>154</v>
      </c>
      <c r="R2" s="39" t="s">
        <v>119</v>
      </c>
    </row>
    <row r="3" spans="1:18" x14ac:dyDescent="0.25">
      <c r="A3" s="21" t="s">
        <v>105</v>
      </c>
      <c r="B3" s="21" t="s">
        <v>112</v>
      </c>
      <c r="C3" s="26">
        <v>1</v>
      </c>
      <c r="D3" s="26">
        <v>0</v>
      </c>
      <c r="E3" s="26">
        <v>0</v>
      </c>
      <c r="F3" s="26">
        <v>0</v>
      </c>
      <c r="G3" s="26">
        <v>0</v>
      </c>
      <c r="H3" s="26">
        <v>33</v>
      </c>
      <c r="I3" s="26">
        <v>67</v>
      </c>
      <c r="J3" s="26">
        <v>0</v>
      </c>
      <c r="K3" s="26">
        <v>1</v>
      </c>
      <c r="L3" s="27">
        <v>1.5</v>
      </c>
      <c r="M3" s="26">
        <v>0</v>
      </c>
      <c r="N3" s="26">
        <v>30</v>
      </c>
      <c r="O3" s="26">
        <v>50</v>
      </c>
      <c r="P3" s="26">
        <v>20</v>
      </c>
      <c r="Q3" s="26">
        <v>3</v>
      </c>
      <c r="R3" s="21" t="s">
        <v>160</v>
      </c>
    </row>
    <row r="4" spans="1:18" x14ac:dyDescent="0.25">
      <c r="A4" s="21" t="s">
        <v>106</v>
      </c>
      <c r="B4" s="21" t="s">
        <v>111</v>
      </c>
      <c r="C4" s="26">
        <v>1</v>
      </c>
      <c r="D4" s="26">
        <v>0</v>
      </c>
      <c r="E4" s="26">
        <v>1</v>
      </c>
      <c r="F4" s="26">
        <v>0</v>
      </c>
      <c r="G4" s="26">
        <v>33</v>
      </c>
      <c r="H4" s="26">
        <v>50</v>
      </c>
      <c r="I4" s="26">
        <v>17</v>
      </c>
      <c r="J4" s="26">
        <v>0</v>
      </c>
      <c r="K4" s="26">
        <v>1</v>
      </c>
      <c r="L4" s="27">
        <v>1.25</v>
      </c>
      <c r="M4" s="26">
        <v>30</v>
      </c>
      <c r="N4" s="26">
        <v>30</v>
      </c>
      <c r="O4" s="26">
        <v>40</v>
      </c>
      <c r="P4" s="26">
        <v>0</v>
      </c>
      <c r="Q4" s="26">
        <v>2</v>
      </c>
      <c r="R4" s="21" t="s">
        <v>160</v>
      </c>
    </row>
    <row r="5" spans="1:18" x14ac:dyDescent="0.25">
      <c r="A5" s="21" t="s">
        <v>107</v>
      </c>
      <c r="B5" s="21" t="s">
        <v>113</v>
      </c>
      <c r="C5" s="26">
        <v>1</v>
      </c>
      <c r="D5" s="26">
        <v>1</v>
      </c>
      <c r="E5" s="26">
        <v>0</v>
      </c>
      <c r="F5" s="26">
        <v>0</v>
      </c>
      <c r="G5" s="26">
        <v>33</v>
      </c>
      <c r="H5" s="26">
        <v>50</v>
      </c>
      <c r="I5" s="26">
        <v>17</v>
      </c>
      <c r="J5" s="26">
        <v>0</v>
      </c>
      <c r="K5" s="26">
        <v>1</v>
      </c>
      <c r="L5" s="27">
        <v>1.25</v>
      </c>
      <c r="M5" s="26">
        <v>30</v>
      </c>
      <c r="N5" s="26">
        <v>30</v>
      </c>
      <c r="O5" s="26">
        <v>40</v>
      </c>
      <c r="P5" s="26">
        <v>0</v>
      </c>
      <c r="Q5" s="26">
        <v>2</v>
      </c>
      <c r="R5" s="21" t="s">
        <v>160</v>
      </c>
    </row>
    <row r="6" spans="1:18" x14ac:dyDescent="0.25">
      <c r="A6" s="21" t="s">
        <v>108</v>
      </c>
      <c r="B6" s="21" t="s">
        <v>114</v>
      </c>
      <c r="C6" s="26">
        <v>1</v>
      </c>
      <c r="D6" s="26">
        <v>1</v>
      </c>
      <c r="E6" s="26">
        <v>1</v>
      </c>
      <c r="F6" s="26">
        <v>0</v>
      </c>
      <c r="G6" s="26">
        <v>0</v>
      </c>
      <c r="H6" s="26">
        <v>67</v>
      </c>
      <c r="I6" s="26">
        <v>33</v>
      </c>
      <c r="J6" s="26">
        <v>0</v>
      </c>
      <c r="K6" s="26">
        <v>1</v>
      </c>
      <c r="L6" s="27">
        <v>1.1000000000000001</v>
      </c>
      <c r="M6" s="26">
        <v>25</v>
      </c>
      <c r="N6" s="26">
        <v>50</v>
      </c>
      <c r="O6" s="26">
        <v>25</v>
      </c>
      <c r="P6" s="26">
        <v>0</v>
      </c>
      <c r="Q6" s="26">
        <v>1</v>
      </c>
      <c r="R6" s="21" t="s">
        <v>160</v>
      </c>
    </row>
    <row r="7" spans="1:18" x14ac:dyDescent="0.25">
      <c r="A7" s="21" t="s">
        <v>109</v>
      </c>
      <c r="B7" s="21" t="s">
        <v>115</v>
      </c>
      <c r="C7" s="26">
        <v>1</v>
      </c>
      <c r="D7" s="26">
        <v>1</v>
      </c>
      <c r="E7" s="26">
        <v>1</v>
      </c>
      <c r="F7" s="26">
        <v>1</v>
      </c>
      <c r="G7" s="26">
        <v>0</v>
      </c>
      <c r="H7" s="26">
        <v>67</v>
      </c>
      <c r="I7" s="26">
        <v>33</v>
      </c>
      <c r="J7" s="26">
        <v>0</v>
      </c>
      <c r="K7" s="26">
        <v>1</v>
      </c>
      <c r="L7" s="27">
        <v>1</v>
      </c>
      <c r="M7" s="26">
        <v>50</v>
      </c>
      <c r="N7" s="26">
        <v>50</v>
      </c>
      <c r="O7" s="26">
        <v>0</v>
      </c>
      <c r="P7" s="26">
        <v>0</v>
      </c>
      <c r="Q7" s="26">
        <v>1</v>
      </c>
      <c r="R7" s="21" t="s">
        <v>160</v>
      </c>
    </row>
    <row r="8" spans="1:18" x14ac:dyDescent="0.25">
      <c r="A8" s="21" t="s">
        <v>110</v>
      </c>
      <c r="B8" s="21" t="s">
        <v>116</v>
      </c>
      <c r="C8" s="26">
        <v>1</v>
      </c>
      <c r="D8" s="26">
        <v>0</v>
      </c>
      <c r="E8" s="26">
        <v>1</v>
      </c>
      <c r="F8" s="26">
        <v>0</v>
      </c>
      <c r="G8" s="26">
        <v>0</v>
      </c>
      <c r="H8" s="26">
        <v>0</v>
      </c>
      <c r="I8" s="26">
        <v>0</v>
      </c>
      <c r="J8" s="26">
        <v>1</v>
      </c>
      <c r="K8" s="26">
        <v>1</v>
      </c>
      <c r="L8" s="27">
        <v>2</v>
      </c>
      <c r="M8" s="26">
        <v>0</v>
      </c>
      <c r="N8" s="26">
        <v>10</v>
      </c>
      <c r="O8" s="26">
        <v>20</v>
      </c>
      <c r="P8" s="26">
        <v>70</v>
      </c>
      <c r="Q8" s="26">
        <v>5</v>
      </c>
      <c r="R8" s="21" t="s">
        <v>160</v>
      </c>
    </row>
    <row r="10" spans="1:18" x14ac:dyDescent="0.25">
      <c r="A10" s="21" t="s">
        <v>141</v>
      </c>
      <c r="C10" s="96" t="s">
        <v>126</v>
      </c>
      <c r="D10" s="96"/>
      <c r="E10" s="96"/>
      <c r="F10" s="96"/>
      <c r="G10" s="96" t="s">
        <v>125</v>
      </c>
      <c r="H10" s="96"/>
      <c r="I10" s="96"/>
      <c r="J10" s="96"/>
      <c r="K10" s="77"/>
      <c r="L10" s="31"/>
      <c r="M10" s="33"/>
      <c r="N10" s="96" t="s">
        <v>150</v>
      </c>
      <c r="O10" s="96"/>
      <c r="P10" s="96"/>
      <c r="Q10" s="33"/>
    </row>
    <row r="11" spans="1:18" x14ac:dyDescent="0.25">
      <c r="A11" s="21" t="s">
        <v>139</v>
      </c>
      <c r="G11" s="34"/>
      <c r="H11" s="34"/>
      <c r="I11" s="34"/>
      <c r="J11" s="34"/>
      <c r="K11" s="34"/>
      <c r="L11" s="28"/>
      <c r="M11" s="34"/>
      <c r="N11" s="34"/>
      <c r="O11" s="34"/>
      <c r="P11" s="34"/>
      <c r="Q11" s="34"/>
    </row>
    <row r="12" spans="1:18" x14ac:dyDescent="0.25">
      <c r="A12" s="21" t="s">
        <v>142</v>
      </c>
      <c r="G12" s="34" t="s">
        <v>138</v>
      </c>
      <c r="H12" s="34"/>
      <c r="I12" s="34"/>
      <c r="J12" s="34"/>
      <c r="K12" s="34"/>
      <c r="L12" s="28"/>
      <c r="M12" s="34"/>
      <c r="N12" s="34" t="s">
        <v>151</v>
      </c>
      <c r="O12" s="34"/>
      <c r="P12" s="34"/>
      <c r="Q12" s="34"/>
    </row>
    <row r="13" spans="1:18" x14ac:dyDescent="0.25">
      <c r="A13" s="21" t="s">
        <v>143</v>
      </c>
      <c r="G13" s="34"/>
      <c r="H13" s="34"/>
      <c r="I13" s="34"/>
      <c r="J13" s="34"/>
      <c r="K13" s="34"/>
      <c r="L13" s="28"/>
      <c r="M13" s="34"/>
      <c r="N13" s="34" t="s">
        <v>152</v>
      </c>
      <c r="O13" s="34"/>
      <c r="P13" s="34"/>
      <c r="Q13" s="34"/>
    </row>
    <row r="14" spans="1:18" x14ac:dyDescent="0.25">
      <c r="G14" s="96" t="s">
        <v>127</v>
      </c>
      <c r="H14" s="96"/>
      <c r="I14" s="96"/>
      <c r="J14" s="96"/>
      <c r="K14" s="77"/>
      <c r="L14" s="31"/>
      <c r="M14" s="33"/>
      <c r="N14" s="33"/>
      <c r="O14" s="33"/>
      <c r="P14" s="33"/>
      <c r="Q14" s="33"/>
    </row>
    <row r="15" spans="1:18" x14ac:dyDescent="0.25">
      <c r="A15" s="21" t="s">
        <v>140</v>
      </c>
      <c r="G15" s="96" t="s">
        <v>128</v>
      </c>
      <c r="H15" s="96"/>
      <c r="I15" s="96"/>
      <c r="J15" s="96"/>
      <c r="K15" s="77"/>
      <c r="L15" s="31"/>
      <c r="M15" s="33"/>
      <c r="N15" s="33"/>
      <c r="O15" s="33"/>
      <c r="P15" s="33"/>
      <c r="Q15" s="33"/>
    </row>
    <row r="16" spans="1:18" x14ac:dyDescent="0.25">
      <c r="G16" s="96" t="s">
        <v>129</v>
      </c>
      <c r="H16" s="96"/>
      <c r="I16" s="96"/>
      <c r="J16" s="96"/>
      <c r="K16" s="77"/>
      <c r="L16" s="31"/>
      <c r="M16" s="33"/>
      <c r="N16" s="33"/>
      <c r="O16" s="33"/>
      <c r="P16" s="33"/>
      <c r="Q16" s="33"/>
    </row>
    <row r="17" spans="7:17" x14ac:dyDescent="0.25">
      <c r="G17" s="96" t="s">
        <v>130</v>
      </c>
      <c r="H17" s="96"/>
      <c r="I17" s="96"/>
      <c r="J17" s="96"/>
      <c r="K17" s="77"/>
      <c r="L17" s="31"/>
      <c r="M17" s="33"/>
      <c r="N17" s="33"/>
      <c r="O17" s="33"/>
      <c r="P17" s="33"/>
      <c r="Q17" s="33"/>
    </row>
    <row r="18" spans="7:17" x14ac:dyDescent="0.25">
      <c r="G18" s="96" t="s">
        <v>131</v>
      </c>
      <c r="H18" s="96"/>
      <c r="I18" s="96"/>
      <c r="J18" s="96"/>
      <c r="K18" s="77"/>
      <c r="L18" s="31"/>
      <c r="M18" s="33"/>
      <c r="N18" s="33"/>
      <c r="O18" s="33"/>
      <c r="P18" s="33"/>
      <c r="Q18" s="33"/>
    </row>
    <row r="20" spans="7:17" x14ac:dyDescent="0.25">
      <c r="G20" s="96" t="s">
        <v>132</v>
      </c>
      <c r="H20" s="96"/>
      <c r="I20" s="96"/>
      <c r="J20" s="96"/>
      <c r="K20" s="77"/>
      <c r="L20" s="31"/>
      <c r="M20" s="33"/>
      <c r="N20" s="33"/>
      <c r="O20" s="33"/>
      <c r="P20" s="33"/>
      <c r="Q20" s="33"/>
    </row>
    <row r="21" spans="7:17" x14ac:dyDescent="0.25">
      <c r="G21" s="96" t="s">
        <v>133</v>
      </c>
      <c r="H21" s="96"/>
      <c r="I21" s="96"/>
      <c r="J21" s="96"/>
      <c r="K21" s="77"/>
      <c r="L21" s="31"/>
      <c r="M21" s="33"/>
      <c r="N21" s="33"/>
      <c r="O21" s="33"/>
      <c r="P21" s="33"/>
      <c r="Q21" s="33"/>
    </row>
    <row r="23" spans="7:17" x14ac:dyDescent="0.25">
      <c r="G23" s="26" t="s">
        <v>136</v>
      </c>
    </row>
    <row r="24" spans="7:17" x14ac:dyDescent="0.25">
      <c r="G24" s="96" t="s">
        <v>134</v>
      </c>
      <c r="H24" s="96"/>
      <c r="I24" s="96"/>
      <c r="J24" s="96"/>
      <c r="K24" s="77"/>
      <c r="L24" s="31"/>
      <c r="M24" s="33"/>
      <c r="N24" s="33"/>
      <c r="O24" s="33"/>
      <c r="P24" s="33"/>
      <c r="Q24" s="33"/>
    </row>
    <row r="25" spans="7:17" x14ac:dyDescent="0.25">
      <c r="G25" s="96" t="s">
        <v>135</v>
      </c>
      <c r="H25" s="96"/>
      <c r="I25" s="96"/>
      <c r="J25" s="96"/>
      <c r="K25" s="77"/>
      <c r="L25" s="31"/>
      <c r="M25" s="33"/>
      <c r="N25" s="33"/>
      <c r="O25" s="33"/>
      <c r="P25" s="33"/>
      <c r="Q25" s="33"/>
    </row>
    <row r="26" spans="7:17" x14ac:dyDescent="0.25">
      <c r="G26" s="96" t="s">
        <v>137</v>
      </c>
      <c r="H26" s="96"/>
      <c r="I26" s="96"/>
      <c r="J26" s="96"/>
      <c r="K26" s="77"/>
      <c r="L26" s="31"/>
      <c r="M26" s="33"/>
      <c r="N26" s="33"/>
      <c r="O26" s="33"/>
      <c r="P26" s="33"/>
      <c r="Q26" s="33"/>
    </row>
  </sheetData>
  <mergeCells count="16">
    <mergeCell ref="C1:F1"/>
    <mergeCell ref="G1:J1"/>
    <mergeCell ref="N10:P10"/>
    <mergeCell ref="G25:J25"/>
    <mergeCell ref="M1:P1"/>
    <mergeCell ref="G26:J26"/>
    <mergeCell ref="C10:F10"/>
    <mergeCell ref="G10:J10"/>
    <mergeCell ref="G14:J14"/>
    <mergeCell ref="G20:J20"/>
    <mergeCell ref="G24:J24"/>
    <mergeCell ref="G15:J15"/>
    <mergeCell ref="G16:J16"/>
    <mergeCell ref="G17:J17"/>
    <mergeCell ref="G18:J18"/>
    <mergeCell ref="G21:J2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8"/>
  <sheetViews>
    <sheetView workbookViewId="0">
      <pane xSplit="1" topLeftCell="B1" activePane="topRight" state="frozen"/>
      <selection pane="topRight" activeCell="F12" sqref="F12"/>
    </sheetView>
  </sheetViews>
  <sheetFormatPr defaultColWidth="9.140625" defaultRowHeight="15" x14ac:dyDescent="0.25"/>
  <cols>
    <col min="1" max="1" width="9.140625" style="21" customWidth="1"/>
    <col min="2" max="2" width="20" style="27" customWidth="1"/>
    <col min="3" max="3" width="23.7109375" style="27" customWidth="1"/>
    <col min="4" max="4" width="24.28515625" style="27" customWidth="1"/>
    <col min="5" max="5" width="15.7109375" style="27" customWidth="1"/>
    <col min="6" max="6" width="18" style="27" customWidth="1"/>
    <col min="7" max="7" width="10.42578125" style="21" customWidth="1"/>
    <col min="8" max="8" width="5.85546875" style="27" customWidth="1"/>
  </cols>
  <sheetData>
    <row r="1" spans="1:8" ht="15" customHeight="1" thickBot="1" x14ac:dyDescent="0.3">
      <c r="A1" s="40" t="s">
        <v>40</v>
      </c>
      <c r="B1" s="42" t="s">
        <v>147</v>
      </c>
      <c r="C1" s="42" t="s">
        <v>155</v>
      </c>
      <c r="D1" s="42" t="s">
        <v>156</v>
      </c>
      <c r="E1" s="43" t="s">
        <v>101</v>
      </c>
      <c r="F1" s="43" t="s">
        <v>102</v>
      </c>
      <c r="G1" s="48" t="s">
        <v>16</v>
      </c>
      <c r="H1" s="47" t="s">
        <v>5</v>
      </c>
    </row>
    <row r="2" spans="1:8" x14ac:dyDescent="0.25">
      <c r="A2" s="13" t="s">
        <v>97</v>
      </c>
      <c r="B2" s="44">
        <v>1</v>
      </c>
      <c r="C2" s="44">
        <v>0.75</v>
      </c>
      <c r="D2" s="44">
        <v>1</v>
      </c>
      <c r="E2" s="44">
        <v>0.5</v>
      </c>
      <c r="F2" s="44">
        <v>0.85</v>
      </c>
      <c r="G2" s="16" t="s">
        <v>10</v>
      </c>
      <c r="H2" s="44">
        <v>1</v>
      </c>
    </row>
    <row r="3" spans="1:8" x14ac:dyDescent="0.25">
      <c r="A3" s="14" t="s">
        <v>98</v>
      </c>
      <c r="B3" s="44">
        <v>1</v>
      </c>
      <c r="C3" s="44">
        <v>0.75</v>
      </c>
      <c r="D3" s="45">
        <v>1</v>
      </c>
      <c r="E3" s="45">
        <v>0.75</v>
      </c>
      <c r="F3" s="45">
        <v>0.5</v>
      </c>
      <c r="G3" s="14" t="s">
        <v>13</v>
      </c>
      <c r="H3" s="45">
        <v>0.8</v>
      </c>
    </row>
    <row r="4" spans="1:8" x14ac:dyDescent="0.25">
      <c r="A4" s="14" t="s">
        <v>99</v>
      </c>
      <c r="B4" s="44">
        <v>1</v>
      </c>
      <c r="C4" s="44">
        <v>0.75</v>
      </c>
      <c r="D4" s="44">
        <v>1</v>
      </c>
      <c r="E4" s="45">
        <v>0.45</v>
      </c>
      <c r="F4" s="45">
        <v>0.7</v>
      </c>
      <c r="G4" s="14" t="s">
        <v>11</v>
      </c>
      <c r="H4" s="45">
        <v>0.8</v>
      </c>
    </row>
    <row r="5" spans="1:8" x14ac:dyDescent="0.25">
      <c r="A5" s="15" t="s">
        <v>100</v>
      </c>
      <c r="B5" s="81">
        <v>1</v>
      </c>
      <c r="C5" s="44">
        <v>0.75</v>
      </c>
      <c r="D5" s="45">
        <v>1</v>
      </c>
      <c r="E5" s="46">
        <v>0.5</v>
      </c>
      <c r="F5" s="46">
        <v>0.65</v>
      </c>
      <c r="G5" s="15" t="s">
        <v>12</v>
      </c>
      <c r="H5" s="46">
        <v>0.8</v>
      </c>
    </row>
    <row r="7" spans="1:8" x14ac:dyDescent="0.25">
      <c r="A7" s="41" t="s">
        <v>103</v>
      </c>
      <c r="B7" s="28"/>
      <c r="C7" s="28"/>
      <c r="D7" s="28"/>
      <c r="E7" s="28"/>
      <c r="F7" s="28"/>
      <c r="G7" s="49"/>
    </row>
    <row r="8" spans="1:8" x14ac:dyDescent="0.25">
      <c r="A8" s="41" t="s">
        <v>104</v>
      </c>
      <c r="B8" s="28"/>
      <c r="C8" s="28"/>
      <c r="D8" s="28"/>
      <c r="E8" s="28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7"/>
  <sheetViews>
    <sheetView workbookViewId="0">
      <pane xSplit="1" topLeftCell="F1" activePane="topRight" state="frozen"/>
      <selection pane="topRight" activeCell="H25" sqref="H25"/>
    </sheetView>
  </sheetViews>
  <sheetFormatPr defaultColWidth="9.140625" defaultRowHeight="15" x14ac:dyDescent="0.25"/>
  <cols>
    <col min="1" max="1" width="17.28515625" style="21" customWidth="1"/>
    <col min="2" max="2" width="19.5703125" style="21" customWidth="1"/>
    <col min="3" max="3" width="17.140625" style="27" customWidth="1"/>
    <col min="4" max="4" width="23.85546875" style="27" customWidth="1"/>
    <col min="5" max="5" width="24.140625" style="27" customWidth="1"/>
    <col min="6" max="6" width="5.7109375" style="26" customWidth="1"/>
    <col min="7" max="7" width="10.42578125" style="26" customWidth="1"/>
    <col min="8" max="8" width="7.85546875" style="26" customWidth="1"/>
    <col min="9" max="9" width="11.42578125" style="26" customWidth="1"/>
    <col min="10" max="10" width="17.42578125" style="21" customWidth="1"/>
    <col min="11" max="11" width="16" style="26" customWidth="1"/>
    <col min="12" max="12" width="16.42578125" style="26" customWidth="1"/>
    <col min="13" max="13" width="34" style="21" customWidth="1"/>
  </cols>
  <sheetData>
    <row r="1" spans="1:13" ht="15" customHeight="1" thickBot="1" x14ac:dyDescent="0.3">
      <c r="A1" s="50" t="s">
        <v>40</v>
      </c>
      <c r="B1" s="51" t="s">
        <v>93</v>
      </c>
      <c r="C1" s="54" t="s">
        <v>147</v>
      </c>
      <c r="D1" s="54" t="s">
        <v>155</v>
      </c>
      <c r="E1" s="54" t="s">
        <v>156</v>
      </c>
      <c r="F1" s="57" t="s">
        <v>78</v>
      </c>
      <c r="G1" s="57" t="s">
        <v>22</v>
      </c>
      <c r="H1" s="57" t="s">
        <v>23</v>
      </c>
      <c r="I1" s="57" t="s">
        <v>24</v>
      </c>
      <c r="J1" s="53" t="s">
        <v>96</v>
      </c>
      <c r="K1" s="61" t="s">
        <v>94</v>
      </c>
      <c r="L1" s="61" t="s">
        <v>95</v>
      </c>
      <c r="M1" s="50" t="s">
        <v>119</v>
      </c>
    </row>
    <row r="2" spans="1:13" ht="15" customHeight="1" x14ac:dyDescent="0.25">
      <c r="A2" s="18" t="s">
        <v>85</v>
      </c>
      <c r="B2" s="17" t="s">
        <v>79</v>
      </c>
      <c r="C2" s="55">
        <v>1</v>
      </c>
      <c r="D2" s="55">
        <v>0.8</v>
      </c>
      <c r="E2" s="55">
        <v>1.2</v>
      </c>
      <c r="F2" s="58">
        <v>25</v>
      </c>
      <c r="G2" s="58">
        <v>35</v>
      </c>
      <c r="H2" s="58">
        <v>70</v>
      </c>
      <c r="I2" s="58">
        <v>45</v>
      </c>
      <c r="J2" s="10" t="s">
        <v>11</v>
      </c>
      <c r="K2" s="58">
        <v>2</v>
      </c>
      <c r="L2" s="62">
        <v>3</v>
      </c>
      <c r="M2" s="3" t="s">
        <v>161</v>
      </c>
    </row>
    <row r="3" spans="1:13" ht="15" customHeight="1" x14ac:dyDescent="0.25">
      <c r="A3" s="19" t="s">
        <v>86</v>
      </c>
      <c r="B3" s="11" t="s">
        <v>79</v>
      </c>
      <c r="C3" s="55">
        <v>1</v>
      </c>
      <c r="D3" s="55">
        <v>0.8</v>
      </c>
      <c r="E3" s="55">
        <v>1.2</v>
      </c>
      <c r="F3" s="59">
        <v>30</v>
      </c>
      <c r="G3" s="59">
        <v>30</v>
      </c>
      <c r="H3" s="59">
        <v>60</v>
      </c>
      <c r="I3" s="59">
        <v>65</v>
      </c>
      <c r="J3" s="11" t="s">
        <v>13</v>
      </c>
      <c r="K3" s="59">
        <v>1</v>
      </c>
      <c r="L3" s="59">
        <v>3</v>
      </c>
      <c r="M3" s="3" t="s">
        <v>162</v>
      </c>
    </row>
    <row r="4" spans="1:13" ht="15" customHeight="1" x14ac:dyDescent="0.25">
      <c r="A4" s="19" t="s">
        <v>87</v>
      </c>
      <c r="B4" s="11" t="s">
        <v>79</v>
      </c>
      <c r="C4" s="55">
        <v>1</v>
      </c>
      <c r="D4" s="55">
        <v>0.8</v>
      </c>
      <c r="E4" s="55">
        <v>1.2</v>
      </c>
      <c r="F4" s="59">
        <v>20</v>
      </c>
      <c r="G4" s="59">
        <v>20</v>
      </c>
      <c r="H4" s="59">
        <v>65</v>
      </c>
      <c r="I4" s="59">
        <v>55</v>
      </c>
      <c r="J4" s="11" t="s">
        <v>13</v>
      </c>
      <c r="K4" s="59">
        <v>1</v>
      </c>
      <c r="L4" s="59">
        <v>3</v>
      </c>
      <c r="M4" s="3" t="s">
        <v>163</v>
      </c>
    </row>
    <row r="5" spans="1:13" ht="15" customHeight="1" x14ac:dyDescent="0.25">
      <c r="A5" s="19" t="s">
        <v>88</v>
      </c>
      <c r="B5" s="11" t="s">
        <v>79</v>
      </c>
      <c r="C5" s="55">
        <v>1</v>
      </c>
      <c r="D5" s="55">
        <v>0.8</v>
      </c>
      <c r="E5" s="55">
        <v>1.2</v>
      </c>
      <c r="F5" s="59">
        <v>30</v>
      </c>
      <c r="G5" s="59">
        <v>25</v>
      </c>
      <c r="H5" s="59">
        <v>80</v>
      </c>
      <c r="I5" s="59">
        <v>50</v>
      </c>
      <c r="J5" s="11" t="s">
        <v>12</v>
      </c>
      <c r="K5" s="59">
        <v>1</v>
      </c>
      <c r="L5" s="59">
        <v>5</v>
      </c>
      <c r="M5" s="3" t="s">
        <v>164</v>
      </c>
    </row>
    <row r="6" spans="1:13" ht="15" customHeight="1" x14ac:dyDescent="0.25">
      <c r="A6" s="19" t="s">
        <v>1</v>
      </c>
      <c r="B6" s="11" t="s">
        <v>79</v>
      </c>
      <c r="C6" s="55">
        <v>1</v>
      </c>
      <c r="D6" s="55">
        <v>0.8</v>
      </c>
      <c r="E6" s="55">
        <v>1.2</v>
      </c>
      <c r="F6" s="59">
        <v>20</v>
      </c>
      <c r="G6" s="59">
        <v>30</v>
      </c>
      <c r="H6" s="59">
        <v>75</v>
      </c>
      <c r="I6" s="59">
        <v>55</v>
      </c>
      <c r="J6" s="11" t="s">
        <v>11</v>
      </c>
      <c r="K6" s="59">
        <v>1</v>
      </c>
      <c r="L6" s="59">
        <v>3</v>
      </c>
      <c r="M6" s="3" t="s">
        <v>165</v>
      </c>
    </row>
    <row r="7" spans="1:13" ht="15" customHeight="1" x14ac:dyDescent="0.25">
      <c r="A7" s="19" t="s">
        <v>2</v>
      </c>
      <c r="B7" s="11" t="s">
        <v>80</v>
      </c>
      <c r="C7" s="55">
        <v>1</v>
      </c>
      <c r="D7" s="55">
        <v>0.8</v>
      </c>
      <c r="E7" s="55">
        <v>1.2</v>
      </c>
      <c r="F7" s="59">
        <v>35</v>
      </c>
      <c r="G7" s="59">
        <v>45</v>
      </c>
      <c r="H7" s="59">
        <v>55</v>
      </c>
      <c r="I7" s="59">
        <v>60</v>
      </c>
      <c r="J7" s="11" t="s">
        <v>12</v>
      </c>
      <c r="K7" s="59">
        <v>3</v>
      </c>
      <c r="L7" s="59">
        <v>5</v>
      </c>
      <c r="M7" s="3" t="s">
        <v>166</v>
      </c>
    </row>
    <row r="8" spans="1:13" ht="15" customHeight="1" x14ac:dyDescent="0.25">
      <c r="A8" s="19" t="s">
        <v>3</v>
      </c>
      <c r="B8" s="11" t="s">
        <v>80</v>
      </c>
      <c r="C8" s="55">
        <v>1</v>
      </c>
      <c r="D8" s="55">
        <v>0.8</v>
      </c>
      <c r="E8" s="55">
        <v>1.2</v>
      </c>
      <c r="F8" s="59">
        <v>40</v>
      </c>
      <c r="G8" s="59">
        <v>55</v>
      </c>
      <c r="H8" s="59">
        <v>40</v>
      </c>
      <c r="I8" s="59">
        <v>50</v>
      </c>
      <c r="J8" s="11" t="s">
        <v>13</v>
      </c>
      <c r="K8" s="59">
        <v>4</v>
      </c>
      <c r="L8" s="59">
        <v>7</v>
      </c>
      <c r="M8" s="3" t="s">
        <v>167</v>
      </c>
    </row>
    <row r="9" spans="1:13" ht="15" customHeight="1" x14ac:dyDescent="0.25">
      <c r="A9" s="19" t="s">
        <v>89</v>
      </c>
      <c r="B9" s="11" t="s">
        <v>80</v>
      </c>
      <c r="C9" s="55">
        <v>1</v>
      </c>
      <c r="D9" s="55">
        <v>0.8</v>
      </c>
      <c r="E9" s="55">
        <v>1.2</v>
      </c>
      <c r="F9" s="59">
        <v>45</v>
      </c>
      <c r="G9" s="59">
        <v>60</v>
      </c>
      <c r="H9" s="59">
        <v>45</v>
      </c>
      <c r="I9" s="59">
        <v>20</v>
      </c>
      <c r="J9" s="11" t="s">
        <v>12</v>
      </c>
      <c r="K9" s="59">
        <v>3</v>
      </c>
      <c r="L9" s="59">
        <v>5</v>
      </c>
      <c r="M9" s="3" t="s">
        <v>168</v>
      </c>
    </row>
    <row r="10" spans="1:13" ht="15" customHeight="1" x14ac:dyDescent="0.25">
      <c r="A10" s="19" t="s">
        <v>4</v>
      </c>
      <c r="B10" s="11" t="s">
        <v>80</v>
      </c>
      <c r="C10" s="55">
        <v>1</v>
      </c>
      <c r="D10" s="55">
        <v>0.8</v>
      </c>
      <c r="E10" s="55">
        <v>1.2</v>
      </c>
      <c r="F10" s="59">
        <v>55</v>
      </c>
      <c r="G10" s="59">
        <v>55</v>
      </c>
      <c r="H10" s="59">
        <v>30</v>
      </c>
      <c r="I10" s="59">
        <v>30</v>
      </c>
      <c r="J10" s="11" t="s">
        <v>11</v>
      </c>
      <c r="K10" s="59">
        <v>5</v>
      </c>
      <c r="L10" s="59">
        <v>10</v>
      </c>
      <c r="M10" s="3" t="s">
        <v>169</v>
      </c>
    </row>
    <row r="11" spans="1:13" ht="15" customHeight="1" x14ac:dyDescent="0.25">
      <c r="A11" s="19" t="s">
        <v>90</v>
      </c>
      <c r="B11" s="11" t="s">
        <v>81</v>
      </c>
      <c r="C11" s="55">
        <v>1</v>
      </c>
      <c r="D11" s="55">
        <v>0.8</v>
      </c>
      <c r="E11" s="55">
        <v>1.2</v>
      </c>
      <c r="F11" s="59">
        <v>60</v>
      </c>
      <c r="G11" s="59">
        <v>90</v>
      </c>
      <c r="H11" s="59">
        <v>15</v>
      </c>
      <c r="I11" s="59">
        <v>30</v>
      </c>
      <c r="J11" s="11" t="s">
        <v>11</v>
      </c>
      <c r="K11" s="59">
        <v>20</v>
      </c>
      <c r="L11" s="59">
        <v>30</v>
      </c>
      <c r="M11" s="3" t="s">
        <v>170</v>
      </c>
    </row>
    <row r="12" spans="1:13" ht="15" customHeight="1" x14ac:dyDescent="0.25">
      <c r="A12" s="19" t="s">
        <v>91</v>
      </c>
      <c r="B12" s="11" t="s">
        <v>81</v>
      </c>
      <c r="C12" s="55">
        <v>1</v>
      </c>
      <c r="D12" s="55">
        <v>0.8</v>
      </c>
      <c r="E12" s="55">
        <v>1.2</v>
      </c>
      <c r="F12" s="59">
        <v>80</v>
      </c>
      <c r="G12" s="59">
        <v>75</v>
      </c>
      <c r="H12" s="59">
        <v>20</v>
      </c>
      <c r="I12" s="59">
        <v>35</v>
      </c>
      <c r="J12" s="11" t="s">
        <v>11</v>
      </c>
      <c r="K12" s="59">
        <v>20</v>
      </c>
      <c r="L12" s="59">
        <v>30</v>
      </c>
      <c r="M12" s="3" t="s">
        <v>171</v>
      </c>
    </row>
    <row r="13" spans="1:13" ht="15" customHeight="1" x14ac:dyDescent="0.25">
      <c r="A13" s="20" t="s">
        <v>92</v>
      </c>
      <c r="B13" s="12" t="s">
        <v>81</v>
      </c>
      <c r="C13" s="80">
        <v>1</v>
      </c>
      <c r="D13" s="55">
        <v>0.8</v>
      </c>
      <c r="E13" s="55">
        <v>1.2</v>
      </c>
      <c r="F13" s="60">
        <v>70</v>
      </c>
      <c r="G13" s="60">
        <v>80</v>
      </c>
      <c r="H13" s="60">
        <v>25</v>
      </c>
      <c r="I13" s="60">
        <v>40</v>
      </c>
      <c r="J13" s="12" t="s">
        <v>11</v>
      </c>
      <c r="K13" s="60">
        <v>20</v>
      </c>
      <c r="L13" s="60">
        <v>30</v>
      </c>
      <c r="M13" s="3" t="s">
        <v>172</v>
      </c>
    </row>
    <row r="15" spans="1:13" x14ac:dyDescent="0.25">
      <c r="A15" s="52"/>
      <c r="B15" s="52" t="s">
        <v>82</v>
      </c>
      <c r="C15" s="56"/>
      <c r="D15" s="56"/>
      <c r="E15" s="56"/>
    </row>
    <row r="16" spans="1:13" ht="15" customHeight="1" x14ac:dyDescent="0.25">
      <c r="A16" s="52"/>
      <c r="B16" s="52" t="s">
        <v>83</v>
      </c>
      <c r="C16" s="56"/>
      <c r="D16" s="56"/>
      <c r="E16" s="56"/>
    </row>
    <row r="17" spans="1:5" x14ac:dyDescent="0.25">
      <c r="A17" s="52"/>
      <c r="B17" s="52" t="s">
        <v>84</v>
      </c>
      <c r="C17" s="56"/>
      <c r="D17" s="56"/>
      <c r="E17" s="5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8"/>
  <sheetViews>
    <sheetView workbookViewId="0">
      <pane xSplit="1" topLeftCell="D1" activePane="topRight" state="frozen"/>
      <selection pane="topRight" activeCell="F18" sqref="F18"/>
    </sheetView>
  </sheetViews>
  <sheetFormatPr defaultColWidth="9.140625" defaultRowHeight="15" x14ac:dyDescent="0.25"/>
  <cols>
    <col min="1" max="1" width="20.7109375" style="21" customWidth="1"/>
    <col min="2" max="2" width="14.42578125" style="21" customWidth="1"/>
    <col min="3" max="3" width="18.28515625" style="27" customWidth="1"/>
    <col min="4" max="4" width="23.85546875" style="27" customWidth="1"/>
    <col min="5" max="5" width="23.7109375" style="27" customWidth="1"/>
    <col min="6" max="6" width="15.140625" style="26" customWidth="1"/>
    <col min="7" max="7" width="15.42578125" style="26" customWidth="1"/>
    <col min="8" max="8" width="12.5703125" style="21" customWidth="1"/>
    <col min="9" max="9" width="8.5703125" style="27" customWidth="1"/>
    <col min="10" max="10" width="55" style="21" customWidth="1"/>
  </cols>
  <sheetData>
    <row r="1" spans="1:10" ht="15" customHeight="1" thickBot="1" x14ac:dyDescent="0.3">
      <c r="A1" s="50" t="s">
        <v>40</v>
      </c>
      <c r="B1" s="50" t="s">
        <v>157</v>
      </c>
      <c r="C1" s="63" t="s">
        <v>147</v>
      </c>
      <c r="D1" s="63" t="s">
        <v>155</v>
      </c>
      <c r="E1" s="63" t="s">
        <v>156</v>
      </c>
      <c r="F1" s="57" t="s">
        <v>76</v>
      </c>
      <c r="G1" s="57" t="s">
        <v>230</v>
      </c>
      <c r="H1" s="51" t="s">
        <v>52</v>
      </c>
      <c r="I1" s="54" t="s">
        <v>75</v>
      </c>
      <c r="J1" s="50" t="s">
        <v>119</v>
      </c>
    </row>
    <row r="2" spans="1:10" ht="15" customHeight="1" x14ac:dyDescent="0.25">
      <c r="A2" s="1" t="s">
        <v>59</v>
      </c>
      <c r="B2" s="3" t="s">
        <v>144</v>
      </c>
      <c r="C2" s="64">
        <v>1</v>
      </c>
      <c r="D2" s="64">
        <v>0.8</v>
      </c>
      <c r="E2" s="64">
        <v>1.2</v>
      </c>
      <c r="F2" s="67">
        <f>F3/3*2</f>
        <v>20</v>
      </c>
      <c r="G2" s="67">
        <f>G3/3*2</f>
        <v>6.666666666666667</v>
      </c>
      <c r="H2" s="3" t="s">
        <v>57</v>
      </c>
      <c r="I2" s="64">
        <v>0.1</v>
      </c>
      <c r="J2" s="3" t="s">
        <v>173</v>
      </c>
    </row>
    <row r="3" spans="1:10" ht="15" customHeight="1" x14ac:dyDescent="0.25">
      <c r="A3" s="1" t="s">
        <v>60</v>
      </c>
      <c r="B3" s="1" t="s">
        <v>144</v>
      </c>
      <c r="C3" s="65">
        <v>1</v>
      </c>
      <c r="D3" s="65">
        <v>0.8</v>
      </c>
      <c r="E3" s="65">
        <v>1.2</v>
      </c>
      <c r="F3" s="68">
        <v>30</v>
      </c>
      <c r="G3" s="68">
        <v>10</v>
      </c>
      <c r="H3" s="1" t="s">
        <v>57</v>
      </c>
      <c r="I3" s="65">
        <v>0.1</v>
      </c>
      <c r="J3" s="3" t="s">
        <v>174</v>
      </c>
    </row>
    <row r="4" spans="1:10" ht="15" customHeight="1" x14ac:dyDescent="0.25">
      <c r="A4" s="1" t="s">
        <v>61</v>
      </c>
      <c r="B4" s="1" t="s">
        <v>144</v>
      </c>
      <c r="C4" s="64">
        <v>1</v>
      </c>
      <c r="D4" s="64">
        <v>0.8</v>
      </c>
      <c r="E4" s="64">
        <v>1.2</v>
      </c>
      <c r="F4" s="68">
        <f>F3/3*1</f>
        <v>10</v>
      </c>
      <c r="G4" s="68">
        <v>5</v>
      </c>
      <c r="H4" s="1" t="s">
        <v>57</v>
      </c>
      <c r="I4" s="65">
        <v>0.1</v>
      </c>
      <c r="J4" s="3" t="s">
        <v>175</v>
      </c>
    </row>
    <row r="5" spans="1:10" ht="15" customHeight="1" x14ac:dyDescent="0.25">
      <c r="A5" s="1" t="s">
        <v>62</v>
      </c>
      <c r="B5" s="1" t="s">
        <v>144</v>
      </c>
      <c r="C5" s="65">
        <v>1</v>
      </c>
      <c r="D5" s="65">
        <v>0.8</v>
      </c>
      <c r="E5" s="65">
        <v>1.2</v>
      </c>
      <c r="F5" s="68">
        <f>F3/2</f>
        <v>15</v>
      </c>
      <c r="G5" s="68">
        <f>G3/2</f>
        <v>5</v>
      </c>
      <c r="H5" s="1" t="s">
        <v>57</v>
      </c>
      <c r="I5" s="65">
        <v>0.1</v>
      </c>
      <c r="J5" s="3" t="s">
        <v>176</v>
      </c>
    </row>
    <row r="6" spans="1:10" ht="15" customHeight="1" x14ac:dyDescent="0.25">
      <c r="A6" s="1" t="s">
        <v>63</v>
      </c>
      <c r="B6" s="1" t="s">
        <v>144</v>
      </c>
      <c r="C6" s="64">
        <v>1</v>
      </c>
      <c r="D6" s="64">
        <v>0.8</v>
      </c>
      <c r="E6" s="64">
        <v>1.2</v>
      </c>
      <c r="F6" s="68">
        <f>F3/3*1</f>
        <v>10</v>
      </c>
      <c r="G6" s="68">
        <f>G3/3*1</f>
        <v>3.3333333333333335</v>
      </c>
      <c r="H6" s="1" t="s">
        <v>57</v>
      </c>
      <c r="I6" s="65">
        <v>0.1</v>
      </c>
      <c r="J6" s="3" t="s">
        <v>177</v>
      </c>
    </row>
    <row r="7" spans="1:10" ht="15" customHeight="1" x14ac:dyDescent="0.25">
      <c r="A7" s="1" t="s">
        <v>64</v>
      </c>
      <c r="B7" s="1" t="s">
        <v>145</v>
      </c>
      <c r="C7" s="65">
        <v>1</v>
      </c>
      <c r="D7" s="65">
        <v>0.8</v>
      </c>
      <c r="E7" s="65">
        <v>1.2</v>
      </c>
      <c r="F7" s="68">
        <f>F8/3*2</f>
        <v>26.666666666666668</v>
      </c>
      <c r="G7" s="68">
        <f>G8/3*2</f>
        <v>13.333333333333334</v>
      </c>
      <c r="H7" s="1" t="s">
        <v>58</v>
      </c>
      <c r="I7" s="65">
        <v>0.15</v>
      </c>
      <c r="J7" s="3" t="s">
        <v>178</v>
      </c>
    </row>
    <row r="8" spans="1:10" ht="15" customHeight="1" x14ac:dyDescent="0.25">
      <c r="A8" s="1" t="s">
        <v>65</v>
      </c>
      <c r="B8" s="1" t="s">
        <v>145</v>
      </c>
      <c r="C8" s="64">
        <v>1</v>
      </c>
      <c r="D8" s="64">
        <v>0.8</v>
      </c>
      <c r="E8" s="64">
        <v>1.2</v>
      </c>
      <c r="F8" s="68">
        <v>40</v>
      </c>
      <c r="G8" s="68">
        <v>20</v>
      </c>
      <c r="H8" s="1" t="s">
        <v>58</v>
      </c>
      <c r="I8" s="65">
        <v>0.15</v>
      </c>
      <c r="J8" s="3" t="s">
        <v>179</v>
      </c>
    </row>
    <row r="9" spans="1:10" ht="15" customHeight="1" x14ac:dyDescent="0.25">
      <c r="A9" s="1" t="s">
        <v>66</v>
      </c>
      <c r="B9" s="1" t="s">
        <v>145</v>
      </c>
      <c r="C9" s="65">
        <v>1</v>
      </c>
      <c r="D9" s="65">
        <v>0.8</v>
      </c>
      <c r="E9" s="65">
        <v>1.2</v>
      </c>
      <c r="F9" s="68">
        <f>F8/3*1</f>
        <v>13.333333333333334</v>
      </c>
      <c r="G9" s="68">
        <f>G8/3*1</f>
        <v>6.666666666666667</v>
      </c>
      <c r="H9" s="1" t="s">
        <v>58</v>
      </c>
      <c r="I9" s="65">
        <v>0.15</v>
      </c>
      <c r="J9" s="3" t="s">
        <v>180</v>
      </c>
    </row>
    <row r="10" spans="1:10" ht="15" customHeight="1" x14ac:dyDescent="0.25">
      <c r="A10" s="1" t="s">
        <v>67</v>
      </c>
      <c r="B10" s="1" t="s">
        <v>145</v>
      </c>
      <c r="C10" s="64">
        <v>1</v>
      </c>
      <c r="D10" s="64">
        <v>0.8</v>
      </c>
      <c r="E10" s="64">
        <v>1.2</v>
      </c>
      <c r="F10" s="68">
        <f>F8/2</f>
        <v>20</v>
      </c>
      <c r="G10" s="68">
        <f>G8/2</f>
        <v>10</v>
      </c>
      <c r="H10" s="1" t="s">
        <v>58</v>
      </c>
      <c r="I10" s="65">
        <v>0.15</v>
      </c>
      <c r="J10" s="3" t="s">
        <v>181</v>
      </c>
    </row>
    <row r="11" spans="1:10" ht="15" customHeight="1" x14ac:dyDescent="0.25">
      <c r="A11" s="1" t="s">
        <v>68</v>
      </c>
      <c r="B11" s="1" t="s">
        <v>145</v>
      </c>
      <c r="C11" s="65">
        <v>1</v>
      </c>
      <c r="D11" s="65">
        <v>0.8</v>
      </c>
      <c r="E11" s="65">
        <v>1.2</v>
      </c>
      <c r="F11" s="68">
        <f>F8/3*1</f>
        <v>13.333333333333334</v>
      </c>
      <c r="G11" s="68">
        <f>G8/3*1</f>
        <v>6.666666666666667</v>
      </c>
      <c r="H11" s="1" t="s">
        <v>58</v>
      </c>
      <c r="I11" s="65">
        <v>0.15</v>
      </c>
      <c r="J11" s="3" t="s">
        <v>182</v>
      </c>
    </row>
    <row r="12" spans="1:10" ht="15" customHeight="1" x14ac:dyDescent="0.25">
      <c r="A12" s="1" t="s">
        <v>70</v>
      </c>
      <c r="B12" s="1" t="s">
        <v>146</v>
      </c>
      <c r="C12" s="64">
        <v>1</v>
      </c>
      <c r="D12" s="64">
        <v>0.8</v>
      </c>
      <c r="E12" s="64">
        <v>1.2</v>
      </c>
      <c r="F12" s="68">
        <f>F13/3*2</f>
        <v>33.333333333333336</v>
      </c>
      <c r="G12" s="68">
        <f>G13/3*2</f>
        <v>20</v>
      </c>
      <c r="H12" s="1" t="s">
        <v>69</v>
      </c>
      <c r="I12" s="65">
        <v>0.2</v>
      </c>
      <c r="J12" s="3" t="s">
        <v>183</v>
      </c>
    </row>
    <row r="13" spans="1:10" ht="15" customHeight="1" x14ac:dyDescent="0.25">
      <c r="A13" s="1" t="s">
        <v>71</v>
      </c>
      <c r="B13" s="1" t="s">
        <v>146</v>
      </c>
      <c r="C13" s="65">
        <v>1</v>
      </c>
      <c r="D13" s="65">
        <v>0.8</v>
      </c>
      <c r="E13" s="65">
        <v>1.2</v>
      </c>
      <c r="F13" s="68">
        <v>50</v>
      </c>
      <c r="G13" s="68">
        <v>30</v>
      </c>
      <c r="H13" s="1" t="s">
        <v>69</v>
      </c>
      <c r="I13" s="65">
        <v>0.2</v>
      </c>
      <c r="J13" s="3" t="s">
        <v>184</v>
      </c>
    </row>
    <row r="14" spans="1:10" ht="15" customHeight="1" x14ac:dyDescent="0.25">
      <c r="A14" s="1" t="s">
        <v>72</v>
      </c>
      <c r="B14" s="1" t="s">
        <v>146</v>
      </c>
      <c r="C14" s="64">
        <v>1</v>
      </c>
      <c r="D14" s="64">
        <v>0.8</v>
      </c>
      <c r="E14" s="64">
        <v>1.2</v>
      </c>
      <c r="F14" s="68">
        <f>F13/3*1</f>
        <v>16.666666666666668</v>
      </c>
      <c r="G14" s="68">
        <f>G13/3*1</f>
        <v>10</v>
      </c>
      <c r="H14" s="1" t="s">
        <v>69</v>
      </c>
      <c r="I14" s="65">
        <v>0.2</v>
      </c>
      <c r="J14" s="3" t="s">
        <v>185</v>
      </c>
    </row>
    <row r="15" spans="1:10" ht="15" customHeight="1" x14ac:dyDescent="0.25">
      <c r="A15" s="1" t="s">
        <v>73</v>
      </c>
      <c r="B15" s="1" t="s">
        <v>146</v>
      </c>
      <c r="C15" s="65">
        <v>1</v>
      </c>
      <c r="D15" s="65">
        <v>0.8</v>
      </c>
      <c r="E15" s="65">
        <v>1.2</v>
      </c>
      <c r="F15" s="68">
        <f>F13/2</f>
        <v>25</v>
      </c>
      <c r="G15" s="68">
        <f>G13/2</f>
        <v>15</v>
      </c>
      <c r="H15" s="1" t="s">
        <v>69</v>
      </c>
      <c r="I15" s="65">
        <v>0.2</v>
      </c>
      <c r="J15" s="3" t="s">
        <v>186</v>
      </c>
    </row>
    <row r="16" spans="1:10" ht="15" customHeight="1" x14ac:dyDescent="0.25">
      <c r="A16" s="4" t="s">
        <v>74</v>
      </c>
      <c r="B16" s="1" t="s">
        <v>146</v>
      </c>
      <c r="C16" s="64">
        <v>1</v>
      </c>
      <c r="D16" s="64">
        <v>0.8</v>
      </c>
      <c r="E16" s="64">
        <v>1.2</v>
      </c>
      <c r="F16" s="69">
        <f>F13/3*1</f>
        <v>16.666666666666668</v>
      </c>
      <c r="G16" s="69">
        <f>G13/3*1</f>
        <v>10</v>
      </c>
      <c r="H16" s="4" t="s">
        <v>69</v>
      </c>
      <c r="I16" s="66">
        <v>0.2</v>
      </c>
      <c r="J16" s="3" t="s">
        <v>187</v>
      </c>
    </row>
    <row r="18" spans="3:7" x14ac:dyDescent="0.25">
      <c r="C18" s="27" t="s">
        <v>148</v>
      </c>
      <c r="G18" s="26" t="s">
        <v>77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3"/>
  <sheetViews>
    <sheetView workbookViewId="0">
      <pane xSplit="1" topLeftCell="G1" activePane="topRight" state="frozen"/>
      <selection pane="topRight" activeCell="J1" sqref="J1"/>
    </sheetView>
  </sheetViews>
  <sheetFormatPr defaultRowHeight="15" x14ac:dyDescent="0.25"/>
  <cols>
    <col min="1" max="1" width="16.7109375" style="21" customWidth="1"/>
    <col min="2" max="2" width="14.7109375" style="21" customWidth="1"/>
    <col min="3" max="3" width="17.28515625" style="27" customWidth="1"/>
    <col min="4" max="4" width="21.28515625" style="27" customWidth="1"/>
    <col min="5" max="5" width="24.42578125" style="27" customWidth="1"/>
    <col min="6" max="6" width="37.140625" style="21" customWidth="1"/>
    <col min="7" max="7" width="12.42578125" style="21" customWidth="1"/>
    <col min="8" max="8" width="10.28515625" style="21" customWidth="1"/>
    <col min="9" max="9" width="6.85546875" style="21" bestFit="1" customWidth="1"/>
    <col min="10" max="10" width="3.28515625" style="26" bestFit="1" customWidth="1"/>
    <col min="11" max="11" width="2.5703125" style="26" bestFit="1" customWidth="1"/>
    <col min="12" max="12" width="54.85546875" style="21" customWidth="1"/>
  </cols>
  <sheetData>
    <row r="1" spans="1:12" ht="15" customHeight="1" thickBot="1" x14ac:dyDescent="0.3">
      <c r="A1" s="50" t="s">
        <v>40</v>
      </c>
      <c r="B1" s="50" t="s">
        <v>157</v>
      </c>
      <c r="C1" s="63" t="s">
        <v>147</v>
      </c>
      <c r="D1" s="63" t="s">
        <v>155</v>
      </c>
      <c r="E1" s="63" t="s">
        <v>156</v>
      </c>
      <c r="F1" s="70" t="s">
        <v>39</v>
      </c>
      <c r="G1" s="70" t="s">
        <v>17</v>
      </c>
      <c r="H1" s="70" t="s">
        <v>16</v>
      </c>
      <c r="I1" s="70" t="s">
        <v>18</v>
      </c>
      <c r="J1" s="71" t="s">
        <v>5</v>
      </c>
      <c r="K1" s="72" t="s">
        <v>6</v>
      </c>
      <c r="L1" s="50" t="s">
        <v>119</v>
      </c>
    </row>
    <row r="2" spans="1:12" x14ac:dyDescent="0.25">
      <c r="A2" s="1" t="s">
        <v>19</v>
      </c>
      <c r="B2" s="3" t="s">
        <v>144</v>
      </c>
      <c r="C2" s="64">
        <v>1</v>
      </c>
      <c r="D2" s="64">
        <v>0.8</v>
      </c>
      <c r="E2" s="64">
        <v>1.2</v>
      </c>
      <c r="F2" s="5" t="s">
        <v>29</v>
      </c>
      <c r="G2" s="5" t="s">
        <v>8</v>
      </c>
      <c r="H2" s="5" t="s">
        <v>10</v>
      </c>
      <c r="I2" s="5" t="str">
        <f>"+"</f>
        <v>+</v>
      </c>
      <c r="J2" s="73">
        <v>50</v>
      </c>
      <c r="K2" s="73">
        <v>1</v>
      </c>
      <c r="L2" s="3" t="s">
        <v>188</v>
      </c>
    </row>
    <row r="3" spans="1:12" x14ac:dyDescent="0.25">
      <c r="A3" s="1" t="s">
        <v>20</v>
      </c>
      <c r="B3" s="1" t="s">
        <v>144</v>
      </c>
      <c r="C3" s="65">
        <v>1</v>
      </c>
      <c r="D3" s="65">
        <v>0.8</v>
      </c>
      <c r="E3" s="65">
        <v>1.2</v>
      </c>
      <c r="F3" s="6" t="s">
        <v>30</v>
      </c>
      <c r="G3" s="6" t="s">
        <v>8</v>
      </c>
      <c r="H3" s="6" t="s">
        <v>10</v>
      </c>
      <c r="I3" s="6" t="str">
        <f>"+"</f>
        <v>+</v>
      </c>
      <c r="J3" s="74">
        <v>10</v>
      </c>
      <c r="K3" s="74">
        <v>5</v>
      </c>
      <c r="L3" s="3" t="s">
        <v>189</v>
      </c>
    </row>
    <row r="4" spans="1:12" x14ac:dyDescent="0.25">
      <c r="A4" s="1" t="s">
        <v>21</v>
      </c>
      <c r="B4" s="1" t="s">
        <v>146</v>
      </c>
      <c r="C4" s="64">
        <v>1</v>
      </c>
      <c r="D4" s="64">
        <v>0.8</v>
      </c>
      <c r="E4" s="64">
        <v>1.2</v>
      </c>
      <c r="F4" s="6" t="s">
        <v>31</v>
      </c>
      <c r="G4" s="6" t="s">
        <v>8</v>
      </c>
      <c r="H4" s="6" t="s">
        <v>10</v>
      </c>
      <c r="I4" s="6" t="s">
        <v>5</v>
      </c>
      <c r="J4" s="74">
        <v>1</v>
      </c>
      <c r="K4" s="74">
        <v>1</v>
      </c>
      <c r="L4" s="3" t="s">
        <v>190</v>
      </c>
    </row>
    <row r="5" spans="1:12" x14ac:dyDescent="0.25">
      <c r="A5" s="1" t="s">
        <v>22</v>
      </c>
      <c r="B5" s="1" t="s">
        <v>145</v>
      </c>
      <c r="C5" s="65">
        <v>1</v>
      </c>
      <c r="D5" s="65">
        <v>0.8</v>
      </c>
      <c r="E5" s="65">
        <v>1.2</v>
      </c>
      <c r="F5" s="6" t="s">
        <v>32</v>
      </c>
      <c r="G5" s="6" t="s">
        <v>8</v>
      </c>
      <c r="H5" s="6" t="s">
        <v>11</v>
      </c>
      <c r="I5" s="6" t="s">
        <v>14</v>
      </c>
      <c r="J5" s="74">
        <v>10</v>
      </c>
      <c r="K5" s="74">
        <v>5</v>
      </c>
      <c r="L5" s="3" t="s">
        <v>191</v>
      </c>
    </row>
    <row r="6" spans="1:12" x14ac:dyDescent="0.25">
      <c r="A6" s="1" t="s">
        <v>23</v>
      </c>
      <c r="B6" s="1" t="s">
        <v>145</v>
      </c>
      <c r="C6" s="64">
        <v>1</v>
      </c>
      <c r="D6" s="64">
        <v>0.8</v>
      </c>
      <c r="E6" s="64">
        <v>1.2</v>
      </c>
      <c r="F6" s="6" t="s">
        <v>33</v>
      </c>
      <c r="G6" s="6" t="s">
        <v>8</v>
      </c>
      <c r="H6" s="6" t="s">
        <v>12</v>
      </c>
      <c r="I6" s="6" t="s">
        <v>14</v>
      </c>
      <c r="J6" s="74">
        <v>10</v>
      </c>
      <c r="K6" s="74">
        <v>5</v>
      </c>
      <c r="L6" s="3" t="s">
        <v>192</v>
      </c>
    </row>
    <row r="7" spans="1:12" x14ac:dyDescent="0.25">
      <c r="A7" s="1" t="s">
        <v>24</v>
      </c>
      <c r="B7" s="1" t="s">
        <v>145</v>
      </c>
      <c r="C7" s="65">
        <v>1</v>
      </c>
      <c r="D7" s="65">
        <v>0.8</v>
      </c>
      <c r="E7" s="65">
        <v>1.2</v>
      </c>
      <c r="F7" s="6" t="s">
        <v>34</v>
      </c>
      <c r="G7" s="6" t="s">
        <v>8</v>
      </c>
      <c r="H7" s="6" t="s">
        <v>13</v>
      </c>
      <c r="I7" s="6" t="s">
        <v>14</v>
      </c>
      <c r="J7" s="74">
        <v>10</v>
      </c>
      <c r="K7" s="74">
        <v>5</v>
      </c>
      <c r="L7" s="3" t="s">
        <v>193</v>
      </c>
    </row>
    <row r="8" spans="1:12" x14ac:dyDescent="0.25">
      <c r="A8" s="7" t="s">
        <v>25</v>
      </c>
      <c r="B8" s="7" t="s">
        <v>145</v>
      </c>
      <c r="C8" s="64">
        <v>1</v>
      </c>
      <c r="D8" s="64">
        <v>0.8</v>
      </c>
      <c r="E8" s="64">
        <v>1.2</v>
      </c>
      <c r="F8" s="6" t="s">
        <v>35</v>
      </c>
      <c r="G8" s="6" t="s">
        <v>9</v>
      </c>
      <c r="H8" s="6" t="s">
        <v>13</v>
      </c>
      <c r="I8" s="6" t="s">
        <v>15</v>
      </c>
      <c r="J8" s="74">
        <v>10</v>
      </c>
      <c r="K8" s="74">
        <v>5</v>
      </c>
      <c r="L8" s="3" t="s">
        <v>194</v>
      </c>
    </row>
    <row r="9" spans="1:12" x14ac:dyDescent="0.25">
      <c r="A9" s="7" t="s">
        <v>28</v>
      </c>
      <c r="B9" s="7" t="s">
        <v>145</v>
      </c>
      <c r="C9" s="65">
        <v>1</v>
      </c>
      <c r="D9" s="65">
        <v>0.8</v>
      </c>
      <c r="E9" s="65">
        <v>1.2</v>
      </c>
      <c r="F9" s="6" t="s">
        <v>36</v>
      </c>
      <c r="G9" s="6" t="s">
        <v>9</v>
      </c>
      <c r="H9" s="6" t="s">
        <v>12</v>
      </c>
      <c r="I9" s="6" t="s">
        <v>15</v>
      </c>
      <c r="J9" s="74">
        <v>10</v>
      </c>
      <c r="K9" s="74">
        <v>5</v>
      </c>
      <c r="L9" s="3" t="s">
        <v>195</v>
      </c>
    </row>
    <row r="10" spans="1:12" x14ac:dyDescent="0.25">
      <c r="A10" s="7" t="s">
        <v>27</v>
      </c>
      <c r="B10" s="7" t="s">
        <v>146</v>
      </c>
      <c r="C10" s="64">
        <v>1</v>
      </c>
      <c r="D10" s="64">
        <v>0.8</v>
      </c>
      <c r="E10" s="64">
        <v>1.2</v>
      </c>
      <c r="F10" s="6" t="s">
        <v>37</v>
      </c>
      <c r="G10" s="6" t="s">
        <v>9</v>
      </c>
      <c r="H10" s="6" t="s">
        <v>10</v>
      </c>
      <c r="I10" s="6" t="str">
        <f>"-"</f>
        <v>-</v>
      </c>
      <c r="J10" s="74">
        <v>10</v>
      </c>
      <c r="K10" s="74">
        <v>5</v>
      </c>
      <c r="L10" s="3" t="s">
        <v>196</v>
      </c>
    </row>
    <row r="11" spans="1:12" x14ac:dyDescent="0.25">
      <c r="A11" s="8" t="s">
        <v>26</v>
      </c>
      <c r="B11" s="8" t="s">
        <v>145</v>
      </c>
      <c r="C11" s="65">
        <v>1</v>
      </c>
      <c r="D11" s="65">
        <v>0.8</v>
      </c>
      <c r="E11" s="65">
        <v>1.2</v>
      </c>
      <c r="F11" s="9" t="s">
        <v>38</v>
      </c>
      <c r="G11" s="9" t="s">
        <v>9</v>
      </c>
      <c r="H11" s="9" t="s">
        <v>11</v>
      </c>
      <c r="I11" s="9" t="s">
        <v>15</v>
      </c>
      <c r="J11" s="75">
        <v>10</v>
      </c>
      <c r="K11" s="75">
        <v>5</v>
      </c>
      <c r="L11" s="3" t="s">
        <v>197</v>
      </c>
    </row>
    <row r="13" spans="1:12" x14ac:dyDescent="0.25">
      <c r="C13" s="27" t="s">
        <v>148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11"/>
  <sheetViews>
    <sheetView workbookViewId="0">
      <pane xSplit="1" topLeftCell="E1" activePane="topRight" state="frozen"/>
      <selection pane="topRight" activeCell="E41" sqref="E41"/>
    </sheetView>
  </sheetViews>
  <sheetFormatPr defaultRowHeight="15" x14ac:dyDescent="0.25"/>
  <cols>
    <col min="1" max="1" width="11.85546875" style="21" customWidth="1"/>
    <col min="2" max="2" width="16.7109375" style="21" customWidth="1"/>
    <col min="3" max="5" width="23.140625" style="27" customWidth="1"/>
    <col min="6" max="6" width="7.7109375" style="26" customWidth="1"/>
    <col min="7" max="7" width="7.85546875" style="26" customWidth="1"/>
    <col min="8" max="8" width="11.140625" style="26" customWidth="1"/>
    <col min="9" max="9" width="10.140625" style="26" customWidth="1"/>
    <col min="10" max="10" width="7.28515625" style="26" customWidth="1"/>
    <col min="11" max="11" width="6.7109375" style="26" customWidth="1"/>
    <col min="12" max="12" width="20.5703125" style="21" customWidth="1"/>
    <col min="13" max="13" width="55.42578125" style="21" customWidth="1"/>
  </cols>
  <sheetData>
    <row r="1" spans="1:13" ht="15" customHeight="1" thickBot="1" x14ac:dyDescent="0.3">
      <c r="A1" s="23" t="s">
        <v>40</v>
      </c>
      <c r="B1" s="23" t="s">
        <v>157</v>
      </c>
      <c r="C1" s="30" t="s">
        <v>147</v>
      </c>
      <c r="D1" s="30" t="s">
        <v>155</v>
      </c>
      <c r="E1" s="30" t="s">
        <v>156</v>
      </c>
      <c r="F1" s="35" t="s">
        <v>50</v>
      </c>
      <c r="G1" s="35" t="s">
        <v>23</v>
      </c>
      <c r="H1" s="35" t="s">
        <v>24</v>
      </c>
      <c r="I1" s="35" t="s">
        <v>51</v>
      </c>
      <c r="J1" s="35" t="s">
        <v>54</v>
      </c>
      <c r="K1" s="35" t="s">
        <v>53</v>
      </c>
      <c r="L1" s="76" t="s">
        <v>52</v>
      </c>
      <c r="M1" s="23" t="s">
        <v>119</v>
      </c>
    </row>
    <row r="2" spans="1:13" x14ac:dyDescent="0.25">
      <c r="A2" s="2" t="s">
        <v>43</v>
      </c>
      <c r="B2" s="3" t="s">
        <v>7</v>
      </c>
      <c r="C2" s="64">
        <v>1</v>
      </c>
      <c r="D2" s="64">
        <v>0.8</v>
      </c>
      <c r="E2" s="64">
        <v>1.2</v>
      </c>
      <c r="F2" s="67">
        <v>5</v>
      </c>
      <c r="G2" s="67">
        <v>80</v>
      </c>
      <c r="H2" s="67">
        <v>50</v>
      </c>
      <c r="I2" s="67">
        <v>0</v>
      </c>
      <c r="J2" s="67">
        <v>1</v>
      </c>
      <c r="K2" s="67">
        <v>2</v>
      </c>
      <c r="L2" s="3" t="s">
        <v>55</v>
      </c>
      <c r="M2" s="3" t="s">
        <v>198</v>
      </c>
    </row>
    <row r="3" spans="1:13" x14ac:dyDescent="0.25">
      <c r="A3" s="1" t="s">
        <v>44</v>
      </c>
      <c r="B3" s="1" t="s">
        <v>144</v>
      </c>
      <c r="C3" s="64">
        <v>1</v>
      </c>
      <c r="D3" s="64">
        <v>0.8</v>
      </c>
      <c r="E3" s="64">
        <v>1.2</v>
      </c>
      <c r="F3" s="68">
        <v>10</v>
      </c>
      <c r="G3" s="68">
        <v>70</v>
      </c>
      <c r="H3" s="68">
        <v>40</v>
      </c>
      <c r="I3" s="68">
        <v>0</v>
      </c>
      <c r="J3" s="68">
        <v>1</v>
      </c>
      <c r="K3" s="68">
        <v>2</v>
      </c>
      <c r="L3" s="1" t="s">
        <v>55</v>
      </c>
      <c r="M3" s="3" t="s">
        <v>199</v>
      </c>
    </row>
    <row r="4" spans="1:13" x14ac:dyDescent="0.25">
      <c r="A4" s="1" t="s">
        <v>0</v>
      </c>
      <c r="B4" s="1" t="s">
        <v>145</v>
      </c>
      <c r="C4" s="64">
        <v>1</v>
      </c>
      <c r="D4" s="64">
        <v>0.8</v>
      </c>
      <c r="E4" s="64">
        <v>1.2</v>
      </c>
      <c r="F4" s="68">
        <v>30</v>
      </c>
      <c r="G4" s="68">
        <v>40</v>
      </c>
      <c r="H4" s="68">
        <v>60</v>
      </c>
      <c r="I4" s="68">
        <v>0</v>
      </c>
      <c r="J4" s="68">
        <v>1</v>
      </c>
      <c r="K4" s="68">
        <v>2</v>
      </c>
      <c r="L4" s="1" t="s">
        <v>55</v>
      </c>
      <c r="M4" s="3" t="s">
        <v>200</v>
      </c>
    </row>
    <row r="5" spans="1:13" x14ac:dyDescent="0.25">
      <c r="A5" s="1" t="s">
        <v>45</v>
      </c>
      <c r="B5" s="1" t="s">
        <v>145</v>
      </c>
      <c r="C5" s="64">
        <v>1</v>
      </c>
      <c r="D5" s="64">
        <v>0.8</v>
      </c>
      <c r="E5" s="64">
        <v>1.2</v>
      </c>
      <c r="F5" s="68">
        <v>20</v>
      </c>
      <c r="G5" s="68">
        <v>60</v>
      </c>
      <c r="H5" s="68">
        <v>50</v>
      </c>
      <c r="I5" s="68">
        <v>0</v>
      </c>
      <c r="J5" s="68">
        <v>1</v>
      </c>
      <c r="K5" s="68">
        <v>2</v>
      </c>
      <c r="L5" s="1" t="s">
        <v>55</v>
      </c>
      <c r="M5" s="3" t="s">
        <v>201</v>
      </c>
    </row>
    <row r="6" spans="1:13" x14ac:dyDescent="0.25">
      <c r="A6" s="1" t="s">
        <v>46</v>
      </c>
      <c r="B6" s="1" t="s">
        <v>145</v>
      </c>
      <c r="C6" s="64">
        <v>1</v>
      </c>
      <c r="D6" s="64">
        <v>0.8</v>
      </c>
      <c r="E6" s="64">
        <v>1.2</v>
      </c>
      <c r="F6" s="68">
        <v>0</v>
      </c>
      <c r="G6" s="68">
        <v>50</v>
      </c>
      <c r="H6" s="68">
        <v>50</v>
      </c>
      <c r="I6" s="68">
        <v>50</v>
      </c>
      <c r="J6" s="68">
        <v>1</v>
      </c>
      <c r="K6" s="68">
        <v>1</v>
      </c>
      <c r="L6" s="1" t="s">
        <v>55</v>
      </c>
      <c r="M6" s="3" t="s">
        <v>202</v>
      </c>
    </row>
    <row r="7" spans="1:13" x14ac:dyDescent="0.25">
      <c r="A7" s="1" t="s">
        <v>47</v>
      </c>
      <c r="B7" s="1" t="s">
        <v>145</v>
      </c>
      <c r="C7" s="64">
        <v>1</v>
      </c>
      <c r="D7" s="64">
        <v>0.8</v>
      </c>
      <c r="E7" s="64">
        <v>1.2</v>
      </c>
      <c r="F7" s="68">
        <v>25</v>
      </c>
      <c r="G7" s="68">
        <v>50</v>
      </c>
      <c r="H7" s="68">
        <v>40</v>
      </c>
      <c r="I7" s="68">
        <v>0</v>
      </c>
      <c r="J7" s="68">
        <v>1</v>
      </c>
      <c r="K7" s="68">
        <v>2</v>
      </c>
      <c r="L7" s="1" t="s">
        <v>55</v>
      </c>
      <c r="M7" s="3" t="s">
        <v>203</v>
      </c>
    </row>
    <row r="8" spans="1:13" x14ac:dyDescent="0.25">
      <c r="A8" s="1" t="s">
        <v>48</v>
      </c>
      <c r="B8" s="1" t="s">
        <v>145</v>
      </c>
      <c r="C8" s="64">
        <v>1</v>
      </c>
      <c r="D8" s="64">
        <v>0.8</v>
      </c>
      <c r="E8" s="64">
        <v>1.2</v>
      </c>
      <c r="F8" s="68">
        <v>60</v>
      </c>
      <c r="G8" s="68">
        <v>20</v>
      </c>
      <c r="H8" s="68">
        <v>70</v>
      </c>
      <c r="I8" s="68">
        <v>0</v>
      </c>
      <c r="J8" s="68">
        <v>2</v>
      </c>
      <c r="K8" s="68">
        <v>1</v>
      </c>
      <c r="L8" s="1" t="s">
        <v>56</v>
      </c>
      <c r="M8" s="3" t="s">
        <v>204</v>
      </c>
    </row>
    <row r="9" spans="1:13" x14ac:dyDescent="0.25">
      <c r="A9" s="4" t="s">
        <v>49</v>
      </c>
      <c r="B9" s="4" t="s">
        <v>145</v>
      </c>
      <c r="C9" s="64">
        <v>1</v>
      </c>
      <c r="D9" s="64">
        <v>0.8</v>
      </c>
      <c r="E9" s="64">
        <v>1.2</v>
      </c>
      <c r="F9" s="69">
        <v>40</v>
      </c>
      <c r="G9" s="69">
        <v>30</v>
      </c>
      <c r="H9" s="69">
        <v>80</v>
      </c>
      <c r="I9" s="69">
        <v>0</v>
      </c>
      <c r="J9" s="69">
        <v>2</v>
      </c>
      <c r="K9" s="69">
        <v>1</v>
      </c>
      <c r="L9" s="4" t="s">
        <v>56</v>
      </c>
      <c r="M9" s="3" t="s">
        <v>205</v>
      </c>
    </row>
    <row r="11" spans="1:13" x14ac:dyDescent="0.25">
      <c r="C11" s="27" t="s">
        <v>148</v>
      </c>
    </row>
  </sheetData>
  <pageMargins left="0.7" right="0.7" top="0.75" bottom="0.75" header="0.3" footer="0.3"/>
  <pageSetup paperSize="9" orientation="portrait" r:id="rId1"/>
  <ignoredErrors>
    <ignoredError sqref="I6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R17"/>
  <sheetViews>
    <sheetView workbookViewId="0">
      <selection activeCell="M10" sqref="M10"/>
    </sheetView>
  </sheetViews>
  <sheetFormatPr defaultRowHeight="15" x14ac:dyDescent="0.25"/>
  <cols>
    <col min="1" max="1" width="5" customWidth="1"/>
    <col min="2" max="2" width="20.85546875" style="83" customWidth="1"/>
    <col min="3" max="3" width="20.42578125" customWidth="1"/>
    <col min="4" max="4" width="9.140625" style="83"/>
    <col min="6" max="6" width="15.5703125" customWidth="1"/>
    <col min="7" max="7" width="10.7109375" customWidth="1"/>
    <col min="8" max="8" width="14.5703125" customWidth="1"/>
    <col min="9" max="9" width="10.7109375" customWidth="1"/>
    <col min="11" max="11" width="15.85546875" customWidth="1"/>
    <col min="12" max="12" width="13.42578125" customWidth="1"/>
    <col min="13" max="13" width="15.7109375" customWidth="1"/>
    <col min="14" max="14" width="13.7109375" customWidth="1"/>
    <col min="17" max="17" width="12.5703125" customWidth="1"/>
  </cols>
  <sheetData>
    <row r="1" spans="2:18" x14ac:dyDescent="0.25">
      <c r="C1" s="82" t="s">
        <v>248</v>
      </c>
      <c r="F1" s="82" t="s">
        <v>219</v>
      </c>
      <c r="G1" s="83"/>
      <c r="H1" s="82" t="s">
        <v>220</v>
      </c>
      <c r="I1" s="83"/>
      <c r="K1" s="82" t="s">
        <v>324</v>
      </c>
      <c r="M1" s="82" t="s">
        <v>325</v>
      </c>
      <c r="R1" s="82"/>
    </row>
    <row r="2" spans="2:18" x14ac:dyDescent="0.25">
      <c r="C2" t="s">
        <v>249</v>
      </c>
      <c r="D2" s="83">
        <v>0</v>
      </c>
      <c r="F2" t="s">
        <v>211</v>
      </c>
      <c r="G2" s="83">
        <v>50</v>
      </c>
      <c r="H2" t="s">
        <v>211</v>
      </c>
      <c r="I2" s="83">
        <v>50</v>
      </c>
      <c r="K2" t="s">
        <v>211</v>
      </c>
      <c r="L2" s="94"/>
      <c r="M2" t="s">
        <v>211</v>
      </c>
      <c r="N2">
        <v>40.592185974121094</v>
      </c>
    </row>
    <row r="3" spans="2:18" x14ac:dyDescent="0.25">
      <c r="F3" t="s">
        <v>22</v>
      </c>
      <c r="G3" s="83">
        <v>25</v>
      </c>
      <c r="H3" t="s">
        <v>22</v>
      </c>
      <c r="I3" s="83">
        <v>25</v>
      </c>
      <c r="K3" t="s">
        <v>22</v>
      </c>
      <c r="L3" s="94"/>
      <c r="M3" t="s">
        <v>22</v>
      </c>
      <c r="P3" s="82" t="s">
        <v>326</v>
      </c>
    </row>
    <row r="4" spans="2:18" ht="15.75" x14ac:dyDescent="0.25">
      <c r="B4" s="85" t="s">
        <v>221</v>
      </c>
      <c r="F4" t="s">
        <v>23</v>
      </c>
      <c r="G4" s="83">
        <v>25</v>
      </c>
      <c r="H4" t="s">
        <v>23</v>
      </c>
      <c r="I4" s="83">
        <v>25</v>
      </c>
      <c r="K4" t="s">
        <v>23</v>
      </c>
      <c r="L4" s="94"/>
      <c r="M4" t="s">
        <v>23</v>
      </c>
      <c r="P4" t="s">
        <v>329</v>
      </c>
      <c r="Q4" s="95">
        <v>50</v>
      </c>
    </row>
    <row r="5" spans="2:18" x14ac:dyDescent="0.25">
      <c r="B5"/>
      <c r="F5" t="s">
        <v>24</v>
      </c>
      <c r="G5" s="83">
        <v>25</v>
      </c>
      <c r="H5" t="s">
        <v>24</v>
      </c>
      <c r="I5" s="83">
        <v>25</v>
      </c>
      <c r="K5" t="s">
        <v>24</v>
      </c>
      <c r="L5" s="94"/>
      <c r="M5" t="s">
        <v>24</v>
      </c>
      <c r="P5" t="s">
        <v>330</v>
      </c>
      <c r="Q5">
        <v>1</v>
      </c>
    </row>
    <row r="6" spans="2:18" x14ac:dyDescent="0.25">
      <c r="B6" s="84" t="s">
        <v>280</v>
      </c>
      <c r="P6" t="s">
        <v>327</v>
      </c>
      <c r="Q6" t="s">
        <v>8</v>
      </c>
    </row>
    <row r="7" spans="2:18" x14ac:dyDescent="0.25">
      <c r="B7"/>
      <c r="P7" t="s">
        <v>328</v>
      </c>
      <c r="Q7" t="s">
        <v>10</v>
      </c>
    </row>
    <row r="8" spans="2:18" x14ac:dyDescent="0.25">
      <c r="B8" s="84" t="s">
        <v>222</v>
      </c>
    </row>
    <row r="9" spans="2:18" x14ac:dyDescent="0.25">
      <c r="B9" s="84" t="s">
        <v>281</v>
      </c>
      <c r="K9" t="s">
        <v>217</v>
      </c>
      <c r="L9">
        <v>9.4078121185302734</v>
      </c>
      <c r="P9" s="84" t="s">
        <v>331</v>
      </c>
    </row>
    <row r="10" spans="2:18" x14ac:dyDescent="0.25">
      <c r="K10" t="s">
        <v>218</v>
      </c>
    </row>
    <row r="13" spans="2:18" x14ac:dyDescent="0.25">
      <c r="R13" s="82"/>
    </row>
    <row r="14" spans="2:18" x14ac:dyDescent="0.25">
      <c r="K14" s="82" t="s">
        <v>212</v>
      </c>
      <c r="N14" s="82" t="s">
        <v>213</v>
      </c>
      <c r="Q14" s="82" t="s">
        <v>214</v>
      </c>
    </row>
    <row r="15" spans="2:18" x14ac:dyDescent="0.25">
      <c r="K15" t="s">
        <v>241</v>
      </c>
      <c r="L15">
        <v>72.299995422363281</v>
      </c>
      <c r="N15" t="s">
        <v>241</v>
      </c>
      <c r="O15">
        <v>72.299995422363281</v>
      </c>
      <c r="Q15" t="s">
        <v>215</v>
      </c>
      <c r="R15">
        <v>114.75000762939453</v>
      </c>
    </row>
    <row r="16" spans="2:18" x14ac:dyDescent="0.25">
      <c r="K16" t="s">
        <v>242</v>
      </c>
      <c r="L16">
        <v>72.299995422363281</v>
      </c>
      <c r="N16" t="s">
        <v>242</v>
      </c>
      <c r="O16">
        <v>72.299995422363281</v>
      </c>
      <c r="Q16" t="s">
        <v>216</v>
      </c>
      <c r="R16">
        <v>72.299995422363281</v>
      </c>
    </row>
    <row r="17" spans="11:18" x14ac:dyDescent="0.25">
      <c r="K17" t="s">
        <v>212</v>
      </c>
      <c r="L17" s="83" t="s">
        <v>247</v>
      </c>
      <c r="N17" t="s">
        <v>213</v>
      </c>
      <c r="O17" t="b">
        <v>1</v>
      </c>
      <c r="Q17" t="s">
        <v>214</v>
      </c>
      <c r="R17" t="b">
        <v>1</v>
      </c>
    </row>
  </sheetData>
  <dataValidations xWindow="558" yWindow="415" count="3">
    <dataValidation allowBlank="1" showInputMessage="1" showErrorMessage="1" promptTitle="firstAttack" prompt="firstAttack is determined by results of Speed Calculation._x000a_If attackerSpeed &gt; defenderSpeed, attacker gets firstAttack." sqref="K14"/>
    <dataValidation allowBlank="1" showInputMessage="1" showErrorMessage="1" promptTitle="parrySuccess" prompt="parrySuccess is determined by results of Speed Calculation._x000a_If attackerSpeed &gt; defenderSpeed, attacker gets parrySuccess._x000a__x000a_Parrying executes a Chest attack with health damage and attribute damage multiplied with parryMultiplier." sqref="N14"/>
    <dataValidation allowBlank="1" showInputMessage="1" showErrorMessage="1" promptTitle="hitSuccess" prompt="hitSuccess is determined by results of Speed and Accuracy Calculation._x000a_If randAccuracy &gt; randSpeed, then hitSuccess = true." sqref="Q14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4" name="Player">
              <controlPr defaultSize="0" autoFill="0" autoLine="0" autoPict="0">
                <anchor moveWithCells="1">
                  <from>
                    <xdr:col>5</xdr:col>
                    <xdr:colOff>114300</xdr:colOff>
                    <xdr:row>7</xdr:row>
                    <xdr:rowOff>104775</xdr:rowOff>
                  </from>
                  <to>
                    <xdr:col>6</xdr:col>
                    <xdr:colOff>19050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Rat">
              <controlPr defaultSize="0" autoFill="0" autoLine="0" autoPict="0">
                <anchor moveWithCells="1">
                  <from>
                    <xdr:col>6</xdr:col>
                    <xdr:colOff>514350</xdr:colOff>
                    <xdr:row>9</xdr:row>
                    <xdr:rowOff>57150</xdr:rowOff>
                  </from>
                  <to>
                    <xdr:col>7</xdr:col>
                    <xdr:colOff>314325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6" name="Spider">
              <controlPr defaultSize="0" autoFill="0" autoLine="0" autoPict="0">
                <anchor moveWithCells="1">
                  <from>
                    <xdr:col>5</xdr:col>
                    <xdr:colOff>114300</xdr:colOff>
                    <xdr:row>9</xdr:row>
                    <xdr:rowOff>57150</xdr:rowOff>
                  </from>
                  <to>
                    <xdr:col>5</xdr:col>
                    <xdr:colOff>704850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Frog">
              <controlPr defaultSize="0" autoFill="0" autoLine="0" autoPict="0">
                <anchor moveWithCells="1">
                  <from>
                    <xdr:col>5</xdr:col>
                    <xdr:colOff>819150</xdr:colOff>
                    <xdr:row>9</xdr:row>
                    <xdr:rowOff>57150</xdr:rowOff>
                  </from>
                  <to>
                    <xdr:col>6</xdr:col>
                    <xdr:colOff>352425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8" name="Bat">
              <controlPr defaultSize="0" autoFill="0" autoLine="0" autoPict="0">
                <anchor moveWithCells="1">
                  <from>
                    <xdr:col>8</xdr:col>
                    <xdr:colOff>457200</xdr:colOff>
                    <xdr:row>9</xdr:row>
                    <xdr:rowOff>57150</xdr:rowOff>
                  </from>
                  <to>
                    <xdr:col>9</xdr:col>
                    <xdr:colOff>247650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9" name="Salamander">
              <controlPr defaultSize="0" autoFill="0" autoLine="0" autoPict="0">
                <anchor moveWithCells="1">
                  <from>
                    <xdr:col>7</xdr:col>
                    <xdr:colOff>514350</xdr:colOff>
                    <xdr:row>9</xdr:row>
                    <xdr:rowOff>57150</xdr:rowOff>
                  </from>
                  <to>
                    <xdr:col>8</xdr:col>
                    <xdr:colOff>361950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0" name="Goblin">
              <controlPr defaultSize="0" autoFill="0" autoLine="0" autoPict="0">
                <anchor moveWithCells="1">
                  <from>
                    <xdr:col>5</xdr:col>
                    <xdr:colOff>114300</xdr:colOff>
                    <xdr:row>12</xdr:row>
                    <xdr:rowOff>66675</xdr:rowOff>
                  </from>
                  <to>
                    <xdr:col>5</xdr:col>
                    <xdr:colOff>704850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1" name="Gremlin">
              <controlPr defaultSize="0" autoFill="0" autoLine="0" autoPict="0">
                <anchor moveWithCells="1">
                  <from>
                    <xdr:col>5</xdr:col>
                    <xdr:colOff>809625</xdr:colOff>
                    <xdr:row>12</xdr:row>
                    <xdr:rowOff>66675</xdr:rowOff>
                  </from>
                  <to>
                    <xdr:col>6</xdr:col>
                    <xdr:colOff>457200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2" name="Ghost">
              <controlPr defaultSize="0" autoFill="0" autoLine="0" autoPict="0">
                <anchor moveWithCells="1">
                  <from>
                    <xdr:col>6</xdr:col>
                    <xdr:colOff>504825</xdr:colOff>
                    <xdr:row>12</xdr:row>
                    <xdr:rowOff>66675</xdr:rowOff>
                  </from>
                  <to>
                    <xdr:col>7</xdr:col>
                    <xdr:colOff>361950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3" name="Zombie">
              <controlPr defaultSize="0" autoFill="0" autoLine="0" autoPict="0">
                <anchor moveWithCells="1">
                  <from>
                    <xdr:col>7</xdr:col>
                    <xdr:colOff>514350</xdr:colOff>
                    <xdr:row>12</xdr:row>
                    <xdr:rowOff>28575</xdr:rowOff>
                  </from>
                  <to>
                    <xdr:col>8</xdr:col>
                    <xdr:colOff>180975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4" name="Ogre">
              <controlPr defaultSize="0" autoFill="0" autoLine="0" autoPict="0">
                <anchor moveWithCells="1">
                  <from>
                    <xdr:col>5</xdr:col>
                    <xdr:colOff>114300</xdr:colOff>
                    <xdr:row>14</xdr:row>
                    <xdr:rowOff>142875</xdr:rowOff>
                  </from>
                  <to>
                    <xdr:col>5</xdr:col>
                    <xdr:colOff>619125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5" name="Giant">
              <controlPr defaultSize="0" autoFill="0" autoLine="0" autoPict="0">
                <anchor moveWithCells="1">
                  <from>
                    <xdr:col>5</xdr:col>
                    <xdr:colOff>809625</xdr:colOff>
                    <xdr:row>14</xdr:row>
                    <xdr:rowOff>142875</xdr:rowOff>
                  </from>
                  <to>
                    <xdr:col>6</xdr:col>
                    <xdr:colOff>276225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6" name="Cyclops">
              <controlPr defaultSize="0" autoFill="0" autoLine="0" autoPict="0">
                <anchor moveWithCells="1">
                  <from>
                    <xdr:col>6</xdr:col>
                    <xdr:colOff>504825</xdr:colOff>
                    <xdr:row>14</xdr:row>
                    <xdr:rowOff>142875</xdr:rowOff>
                  </from>
                  <to>
                    <xdr:col>7</xdr:col>
                    <xdr:colOff>457200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7" name="LeatherHelmet1">
              <controlPr defaultSize="0" autoFill="0" autoLine="0" autoPict="0">
                <anchor moveWithCells="1">
                  <from>
                    <xdr:col>1</xdr:col>
                    <xdr:colOff>114300</xdr:colOff>
                    <xdr:row>19</xdr:row>
                    <xdr:rowOff>171450</xdr:rowOff>
                  </from>
                  <to>
                    <xdr:col>2</xdr:col>
                    <xdr:colOff>19050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8" name="LeatherHarness1">
              <controlPr defaultSize="0" autoFill="0" autoLine="0" autoPict="0">
                <anchor moveWithCells="1">
                  <from>
                    <xdr:col>2</xdr:col>
                    <xdr:colOff>238125</xdr:colOff>
                    <xdr:row>19</xdr:row>
                    <xdr:rowOff>171450</xdr:rowOff>
                  </from>
                  <to>
                    <xdr:col>3</xdr:col>
                    <xdr:colOff>171450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19" name="Leather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19</xdr:row>
                    <xdr:rowOff>171450</xdr:rowOff>
                  </from>
                  <to>
                    <xdr:col>5</xdr:col>
                    <xdr:colOff>476250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0" name="LeatherCuisse1">
              <controlPr defaultSize="0" autoFill="0" autoLine="0" autoPict="0">
                <anchor moveWithCells="1">
                  <from>
                    <xdr:col>5</xdr:col>
                    <xdr:colOff>904875</xdr:colOff>
                    <xdr:row>19</xdr:row>
                    <xdr:rowOff>171450</xdr:rowOff>
                  </from>
                  <to>
                    <xdr:col>7</xdr:col>
                    <xdr:colOff>419100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1" name="LeatherBoots1">
              <controlPr defaultSize="0" autoFill="0" autoLine="0" autoPict="0">
                <anchor moveWithCells="1">
                  <from>
                    <xdr:col>7</xdr:col>
                    <xdr:colOff>704850</xdr:colOff>
                    <xdr:row>19</xdr:row>
                    <xdr:rowOff>171450</xdr:rowOff>
                  </from>
                  <to>
                    <xdr:col>8</xdr:col>
                    <xdr:colOff>704850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2" name="HabergeonHelmet1">
              <controlPr defaultSize="0" autoFill="0" autoLine="0" autoPict="0">
                <anchor moveWithCells="1">
                  <from>
                    <xdr:col>1</xdr:col>
                    <xdr:colOff>104775</xdr:colOff>
                    <xdr:row>22</xdr:row>
                    <xdr:rowOff>9525</xdr:rowOff>
                  </from>
                  <to>
                    <xdr:col>2</xdr:col>
                    <xdr:colOff>9525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3" name="HabergeonHarness1">
              <controlPr defaultSize="0" autoFill="0" autoLine="0" autoPict="0">
                <anchor moveWithCells="1">
                  <from>
                    <xdr:col>2</xdr:col>
                    <xdr:colOff>228600</xdr:colOff>
                    <xdr:row>22</xdr:row>
                    <xdr:rowOff>9525</xdr:rowOff>
                  </from>
                  <to>
                    <xdr:col>3</xdr:col>
                    <xdr:colOff>161925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4" name="Habergeon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22</xdr:row>
                    <xdr:rowOff>9525</xdr:rowOff>
                  </from>
                  <to>
                    <xdr:col>5</xdr:col>
                    <xdr:colOff>466725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5" name="HabergeonCuisse1">
              <controlPr defaultSize="0" autoFill="0" autoLine="0" autoPict="0">
                <anchor moveWithCells="1">
                  <from>
                    <xdr:col>5</xdr:col>
                    <xdr:colOff>914400</xdr:colOff>
                    <xdr:row>22</xdr:row>
                    <xdr:rowOff>9525</xdr:rowOff>
                  </from>
                  <to>
                    <xdr:col>7</xdr:col>
                    <xdr:colOff>314325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6" name="HabergeonBoots1">
              <controlPr defaultSize="0" autoFill="0" autoLine="0" autoPict="0">
                <anchor moveWithCells="1">
                  <from>
                    <xdr:col>7</xdr:col>
                    <xdr:colOff>714375</xdr:colOff>
                    <xdr:row>22</xdr:row>
                    <xdr:rowOff>9525</xdr:rowOff>
                  </from>
                  <to>
                    <xdr:col>9</xdr:col>
                    <xdr:colOff>180975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7" name="PlateHelmet1">
              <controlPr defaultSize="0" autoFill="0" autoLine="0" autoPict="0">
                <anchor moveWithCells="1">
                  <from>
                    <xdr:col>1</xdr:col>
                    <xdr:colOff>104775</xdr:colOff>
                    <xdr:row>24</xdr:row>
                    <xdr:rowOff>47625</xdr:rowOff>
                  </from>
                  <to>
                    <xdr:col>2</xdr:col>
                    <xdr:colOff>9525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8" name="PlateHarness1">
              <controlPr defaultSize="0" autoFill="0" autoLine="0" autoPict="0">
                <anchor moveWithCells="1">
                  <from>
                    <xdr:col>2</xdr:col>
                    <xdr:colOff>228600</xdr:colOff>
                    <xdr:row>24</xdr:row>
                    <xdr:rowOff>47625</xdr:rowOff>
                  </from>
                  <to>
                    <xdr:col>3</xdr:col>
                    <xdr:colOff>161925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9" name="Plate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24</xdr:row>
                    <xdr:rowOff>47625</xdr:rowOff>
                  </from>
                  <to>
                    <xdr:col>5</xdr:col>
                    <xdr:colOff>466725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30" name="PlateCuisse1">
              <controlPr defaultSize="0" autoFill="0" autoLine="0" autoPict="0">
                <anchor moveWithCells="1">
                  <from>
                    <xdr:col>5</xdr:col>
                    <xdr:colOff>923925</xdr:colOff>
                    <xdr:row>24</xdr:row>
                    <xdr:rowOff>47625</xdr:rowOff>
                  </from>
                  <to>
                    <xdr:col>7</xdr:col>
                    <xdr:colOff>466725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31" name="PlateBoots1">
              <controlPr defaultSize="0" autoFill="0" autoLine="0" autoPict="0">
                <anchor moveWithCells="1">
                  <from>
                    <xdr:col>7</xdr:col>
                    <xdr:colOff>723900</xdr:colOff>
                    <xdr:row>24</xdr:row>
                    <xdr:rowOff>47625</xdr:rowOff>
                  </from>
                  <to>
                    <xdr:col>8</xdr:col>
                    <xdr:colOff>619125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2" name="none11">
              <controlPr defaultSize="0" autoFill="0" autoLine="0" autoPict="0">
                <anchor moveWithCells="1">
                  <from>
                    <xdr:col>1</xdr:col>
                    <xdr:colOff>104775</xdr:colOff>
                    <xdr:row>26</xdr:row>
                    <xdr:rowOff>76200</xdr:rowOff>
                  </from>
                  <to>
                    <xdr:col>2</xdr:col>
                    <xdr:colOff>9525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3" name="none21">
              <controlPr defaultSize="0" autoFill="0" autoLine="0" autoPict="0">
                <anchor moveWithCells="1">
                  <from>
                    <xdr:col>2</xdr:col>
                    <xdr:colOff>238125</xdr:colOff>
                    <xdr:row>26</xdr:row>
                    <xdr:rowOff>66675</xdr:rowOff>
                  </from>
                  <to>
                    <xdr:col>3</xdr:col>
                    <xdr:colOff>180975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4" name="none31">
              <controlPr defaultSize="0" autoFill="0" autoLine="0" autoPict="0">
                <anchor moveWithCells="1">
                  <from>
                    <xdr:col>3</xdr:col>
                    <xdr:colOff>390525</xdr:colOff>
                    <xdr:row>26</xdr:row>
                    <xdr:rowOff>66675</xdr:rowOff>
                  </from>
                  <to>
                    <xdr:col>5</xdr:col>
                    <xdr:colOff>466725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5" name="none41">
              <controlPr defaultSize="0" autoFill="0" autoLine="0" autoPict="0">
                <anchor moveWithCells="1">
                  <from>
                    <xdr:col>5</xdr:col>
                    <xdr:colOff>923925</xdr:colOff>
                    <xdr:row>26</xdr:row>
                    <xdr:rowOff>66675</xdr:rowOff>
                  </from>
                  <to>
                    <xdr:col>7</xdr:col>
                    <xdr:colOff>466725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none51">
              <controlPr defaultSize="0" autoFill="0" autoLine="0" autoPict="0">
                <anchor moveWithCells="1">
                  <from>
                    <xdr:col>7</xdr:col>
                    <xdr:colOff>723900</xdr:colOff>
                    <xdr:row>26</xdr:row>
                    <xdr:rowOff>57150</xdr:rowOff>
                  </from>
                  <to>
                    <xdr:col>8</xdr:col>
                    <xdr:colOff>638175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37" name="Fists1m">
              <controlPr defaultSize="0" autoFill="0" autoLine="0" autoPict="0">
                <anchor moveWithCells="1">
                  <from>
                    <xdr:col>1</xdr:col>
                    <xdr:colOff>95250</xdr:colOff>
                    <xdr:row>30</xdr:row>
                    <xdr:rowOff>66675</xdr:rowOff>
                  </from>
                  <to>
                    <xdr:col>1</xdr:col>
                    <xdr:colOff>600075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1" r:id="rId38" name="Dagger1m">
              <controlPr defaultSize="0" autoFill="0" autoLine="0" autoPict="0">
                <anchor moveWithCells="1">
                  <from>
                    <xdr:col>1</xdr:col>
                    <xdr:colOff>723900</xdr:colOff>
                    <xdr:row>30</xdr:row>
                    <xdr:rowOff>66675</xdr:rowOff>
                  </from>
                  <to>
                    <xdr:col>1</xdr:col>
                    <xdr:colOff>1381125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39" name="Axt1m">
              <controlPr defaultSize="0" autoFill="0" autoLine="0" autoPict="0">
                <anchor moveWithCells="1">
                  <from>
                    <xdr:col>2</xdr:col>
                    <xdr:colOff>28575</xdr:colOff>
                    <xdr:row>30</xdr:row>
                    <xdr:rowOff>76200</xdr:rowOff>
                  </from>
                  <to>
                    <xdr:col>2</xdr:col>
                    <xdr:colOff>571500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3" r:id="rId40" name="Sword1m">
              <controlPr defaultSize="0" autoFill="0" autoLine="0" autoPict="0">
                <anchor moveWithCells="1">
                  <from>
                    <xdr:col>2</xdr:col>
                    <xdr:colOff>600075</xdr:colOff>
                    <xdr:row>30</xdr:row>
                    <xdr:rowOff>76200</xdr:rowOff>
                  </from>
                  <to>
                    <xdr:col>2</xdr:col>
                    <xdr:colOff>1228725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4" r:id="rId41" name="Shield1m">
              <controlPr defaultSize="0" autoFill="0" autoLine="0" autoPict="0">
                <anchor moveWithCells="1">
                  <from>
                    <xdr:col>2</xdr:col>
                    <xdr:colOff>1257300</xdr:colOff>
                    <xdr:row>30</xdr:row>
                    <xdr:rowOff>76200</xdr:rowOff>
                  </from>
                  <to>
                    <xdr:col>3</xdr:col>
                    <xdr:colOff>504825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5" r:id="rId42" name="Sabre1m">
              <controlPr defaultSize="0" autoFill="0" autoLine="0" autoPict="0">
                <anchor moveWithCells="1">
                  <from>
                    <xdr:col>3</xdr:col>
                    <xdr:colOff>590550</xdr:colOff>
                    <xdr:row>30</xdr:row>
                    <xdr:rowOff>66675</xdr:rowOff>
                  </from>
                  <to>
                    <xdr:col>4</xdr:col>
                    <xdr:colOff>590550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6" r:id="rId43" name="Longsword1m">
              <controlPr defaultSize="0" autoFill="0" autoLine="0" autoPict="0">
                <anchor moveWithCells="1">
                  <from>
                    <xdr:col>5</xdr:col>
                    <xdr:colOff>38100</xdr:colOff>
                    <xdr:row>30</xdr:row>
                    <xdr:rowOff>76200</xdr:rowOff>
                  </from>
                  <to>
                    <xdr:col>5</xdr:col>
                    <xdr:colOff>895350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44" name="Bow1m">
              <controlPr defaultSize="0" autoFill="0" autoLine="0" autoPict="0">
                <anchor moveWithCells="1">
                  <from>
                    <xdr:col>5</xdr:col>
                    <xdr:colOff>952500</xdr:colOff>
                    <xdr:row>30</xdr:row>
                    <xdr:rowOff>66675</xdr:rowOff>
                  </from>
                  <to>
                    <xdr:col>6</xdr:col>
                    <xdr:colOff>447675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45" name="Fists1s">
              <controlPr defaultSize="0" autoFill="0" autoLine="0" autoPict="0">
                <anchor moveWithCells="1">
                  <from>
                    <xdr:col>1</xdr:col>
                    <xdr:colOff>95250</xdr:colOff>
                    <xdr:row>34</xdr:row>
                    <xdr:rowOff>19050</xdr:rowOff>
                  </from>
                  <to>
                    <xdr:col>1</xdr:col>
                    <xdr:colOff>1190625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0" r:id="rId46" name="Dagger1s">
              <controlPr defaultSize="0" autoFill="0" autoLine="0" autoPict="0">
                <anchor moveWithCells="1">
                  <from>
                    <xdr:col>1</xdr:col>
                    <xdr:colOff>704850</xdr:colOff>
                    <xdr:row>34</xdr:row>
                    <xdr:rowOff>28575</xdr:rowOff>
                  </from>
                  <to>
                    <xdr:col>1</xdr:col>
                    <xdr:colOff>1343025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1" r:id="rId47" name="Axt1s">
              <controlPr defaultSize="0" autoFill="0" autoLine="0" autoPict="0">
                <anchor moveWithCells="1">
                  <from>
                    <xdr:col>2</xdr:col>
                    <xdr:colOff>66675</xdr:colOff>
                    <xdr:row>34</xdr:row>
                    <xdr:rowOff>19050</xdr:rowOff>
                  </from>
                  <to>
                    <xdr:col>2</xdr:col>
                    <xdr:colOff>542925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48" name="Sword1s">
              <controlPr defaultSize="0" autoFill="0" autoLine="0" autoPict="0">
                <anchor moveWithCells="1">
                  <from>
                    <xdr:col>2</xdr:col>
                    <xdr:colOff>609600</xdr:colOff>
                    <xdr:row>34</xdr:row>
                    <xdr:rowOff>19050</xdr:rowOff>
                  </from>
                  <to>
                    <xdr:col>2</xdr:col>
                    <xdr:colOff>1247775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3" r:id="rId49" name="Shield1s">
              <controlPr defaultSize="0" autoFill="0" autoLine="0" autoPict="0">
                <anchor moveWithCells="1">
                  <from>
                    <xdr:col>2</xdr:col>
                    <xdr:colOff>1247775</xdr:colOff>
                    <xdr:row>34</xdr:row>
                    <xdr:rowOff>19050</xdr:rowOff>
                  </from>
                  <to>
                    <xdr:col>3</xdr:col>
                    <xdr:colOff>523875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4" r:id="rId50" name="Sabre1s">
              <controlPr defaultSize="0" autoFill="0" autoLine="0" autoPict="0">
                <anchor moveWithCells="1">
                  <from>
                    <xdr:col>3</xdr:col>
                    <xdr:colOff>581025</xdr:colOff>
                    <xdr:row>34</xdr:row>
                    <xdr:rowOff>19050</xdr:rowOff>
                  </from>
                  <to>
                    <xdr:col>4</xdr:col>
                    <xdr:colOff>609600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5" r:id="rId51" name="Longsword1s">
              <controlPr defaultSize="0" autoFill="0" autoLine="0" autoPict="0">
                <anchor moveWithCells="1">
                  <from>
                    <xdr:col>5</xdr:col>
                    <xdr:colOff>28575</xdr:colOff>
                    <xdr:row>34</xdr:row>
                    <xdr:rowOff>28575</xdr:rowOff>
                  </from>
                  <to>
                    <xdr:col>5</xdr:col>
                    <xdr:colOff>933450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6" r:id="rId52" name="Bow1s">
              <controlPr defaultSize="0" autoFill="0" autoLine="0" autoPict="0">
                <anchor moveWithCells="1">
                  <from>
                    <xdr:col>5</xdr:col>
                    <xdr:colOff>971550</xdr:colOff>
                    <xdr:row>34</xdr:row>
                    <xdr:rowOff>19050</xdr:rowOff>
                  </from>
                  <to>
                    <xdr:col>6</xdr:col>
                    <xdr:colOff>495300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8" r:id="rId53" name="Enemy">
              <controlPr defaultSize="0" autoFill="0" autoPict="0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9</xdr:col>
                    <xdr:colOff>361950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0" r:id="rId54" name="Head1">
              <controlPr defaultSize="0" autoFill="0" autoPict="0">
                <anchor moveWithCells="1">
                  <from>
                    <xdr:col>1</xdr:col>
                    <xdr:colOff>66675</xdr:colOff>
                    <xdr:row>19</xdr:row>
                    <xdr:rowOff>85725</xdr:rowOff>
                  </from>
                  <to>
                    <xdr:col>2</xdr:col>
                    <xdr:colOff>66675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1" r:id="rId55" name="Chest1">
              <controlPr defaultSize="0" autoFill="0" autoPict="0">
                <anchor moveWithCells="1">
                  <from>
                    <xdr:col>2</xdr:col>
                    <xdr:colOff>190500</xdr:colOff>
                    <xdr:row>19</xdr:row>
                    <xdr:rowOff>85725</xdr:rowOff>
                  </from>
                  <to>
                    <xdr:col>3</xdr:col>
                    <xdr:colOff>266700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2" r:id="rId56" name="Arms1">
              <controlPr defaultSize="0" autoFill="0" autoPict="0">
                <anchor moveWithCells="1">
                  <from>
                    <xdr:col>3</xdr:col>
                    <xdr:colOff>371475</xdr:colOff>
                    <xdr:row>19</xdr:row>
                    <xdr:rowOff>76200</xdr:rowOff>
                  </from>
                  <to>
                    <xdr:col>5</xdr:col>
                    <xdr:colOff>647700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4" r:id="rId57" name="Feet1">
              <controlPr defaultSize="0" autoFill="0" autoPict="0">
                <anchor moveWithCells="1">
                  <from>
                    <xdr:col>7</xdr:col>
                    <xdr:colOff>638175</xdr:colOff>
                    <xdr:row>19</xdr:row>
                    <xdr:rowOff>76200</xdr:rowOff>
                  </from>
                  <to>
                    <xdr:col>9</xdr:col>
                    <xdr:colOff>342900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6" r:id="rId58" name="Legs1">
              <controlPr defaultSize="0" autoFill="0" autoPict="0">
                <anchor moveWithCells="1">
                  <from>
                    <xdr:col>5</xdr:col>
                    <xdr:colOff>790575</xdr:colOff>
                    <xdr:row>19</xdr:row>
                    <xdr:rowOff>85725</xdr:rowOff>
                  </from>
                  <to>
                    <xdr:col>7</xdr:col>
                    <xdr:colOff>504825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7" r:id="rId59" name="MainWeapons1">
              <controlPr defaultSize="0" autoFill="0" autoPict="0">
                <anchor moveWithCells="1">
                  <from>
                    <xdr:col>1</xdr:col>
                    <xdr:colOff>57150</xdr:colOff>
                    <xdr:row>29</xdr:row>
                    <xdr:rowOff>76200</xdr:rowOff>
                  </from>
                  <to>
                    <xdr:col>6</xdr:col>
                    <xdr:colOff>552450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8" r:id="rId60" name="SubWeapons1">
              <controlPr defaultSize="0" autoFill="0" autoPict="0">
                <anchor moveWithCells="1">
                  <from>
                    <xdr:col>1</xdr:col>
                    <xdr:colOff>66675</xdr:colOff>
                    <xdr:row>33</xdr:row>
                    <xdr:rowOff>9525</xdr:rowOff>
                  </from>
                  <to>
                    <xdr:col>6</xdr:col>
                    <xdr:colOff>542925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4" r:id="rId61" name="Player1Group">
              <controlPr defaultSize="0" autoFill="0" autoPict="0">
                <anchor moveWithCells="1">
                  <from>
                    <xdr:col>0</xdr:col>
                    <xdr:colOff>161925</xdr:colOff>
                    <xdr:row>18</xdr:row>
                    <xdr:rowOff>0</xdr:rowOff>
                  </from>
                  <to>
                    <xdr:col>10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5" r:id="rId62" name="Fists2s">
              <controlPr defaultSize="0" autoFill="0" autoLine="0" autoPict="0">
                <anchor moveWithCells="1">
                  <from>
                    <xdr:col>10</xdr:col>
                    <xdr:colOff>466725</xdr:colOff>
                    <xdr:row>34</xdr:row>
                    <xdr:rowOff>19050</xdr:rowOff>
                  </from>
                  <to>
                    <xdr:col>11</xdr:col>
                    <xdr:colOff>638175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6" r:id="rId63" name="Dagger2s">
              <controlPr defaultSize="0" autoFill="0" autoLine="0" autoPict="0">
                <anchor moveWithCells="1">
                  <from>
                    <xdr:col>11</xdr:col>
                    <xdr:colOff>95250</xdr:colOff>
                    <xdr:row>34</xdr:row>
                    <xdr:rowOff>28575</xdr:rowOff>
                  </from>
                  <to>
                    <xdr:col>11</xdr:col>
                    <xdr:colOff>800100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7" r:id="rId64" name="Axt2s">
              <controlPr defaultSize="0" autoFill="0" autoLine="0" autoPict="0">
                <anchor moveWithCells="1">
                  <from>
                    <xdr:col>12</xdr:col>
                    <xdr:colOff>38100</xdr:colOff>
                    <xdr:row>34</xdr:row>
                    <xdr:rowOff>19050</xdr:rowOff>
                  </from>
                  <to>
                    <xdr:col>12</xdr:col>
                    <xdr:colOff>571500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" r:id="rId65" name="Sword2s">
              <controlPr defaultSize="0" autoFill="0" autoLine="0" autoPict="0">
                <anchor moveWithCells="1">
                  <from>
                    <xdr:col>12</xdr:col>
                    <xdr:colOff>638175</xdr:colOff>
                    <xdr:row>34</xdr:row>
                    <xdr:rowOff>19050</xdr:rowOff>
                  </from>
                  <to>
                    <xdr:col>13</xdr:col>
                    <xdr:colOff>304800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" r:id="rId66" name="Shield2s">
              <controlPr defaultSize="0" autoFill="0" autoLine="0" autoPict="0">
                <anchor moveWithCells="1">
                  <from>
                    <xdr:col>13</xdr:col>
                    <xdr:colOff>304800</xdr:colOff>
                    <xdr:row>34</xdr:row>
                    <xdr:rowOff>19050</xdr:rowOff>
                  </from>
                  <to>
                    <xdr:col>14</xdr:col>
                    <xdr:colOff>104775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" r:id="rId67" name="Sabre2s">
              <controlPr defaultSize="0" autoFill="0" autoLine="0" autoPict="0">
                <anchor moveWithCells="1">
                  <from>
                    <xdr:col>14</xdr:col>
                    <xdr:colOff>171450</xdr:colOff>
                    <xdr:row>34</xdr:row>
                    <xdr:rowOff>19050</xdr:rowOff>
                  </from>
                  <to>
                    <xdr:col>15</xdr:col>
                    <xdr:colOff>276225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" r:id="rId68" name="Longsword2s">
              <controlPr defaultSize="0" autoFill="0" autoLine="0" autoPict="0">
                <anchor moveWithCells="1">
                  <from>
                    <xdr:col>15</xdr:col>
                    <xdr:colOff>304800</xdr:colOff>
                    <xdr:row>34</xdr:row>
                    <xdr:rowOff>28575</xdr:rowOff>
                  </from>
                  <to>
                    <xdr:col>16</xdr:col>
                    <xdr:colOff>704850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" r:id="rId69" name="Bow2s">
              <controlPr defaultSize="0" autoFill="0" autoLine="0" autoPict="0">
                <anchor moveWithCells="1">
                  <from>
                    <xdr:col>16</xdr:col>
                    <xdr:colOff>752475</xdr:colOff>
                    <xdr:row>34</xdr:row>
                    <xdr:rowOff>19050</xdr:rowOff>
                  </from>
                  <to>
                    <xdr:col>17</xdr:col>
                    <xdr:colOff>533400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" r:id="rId70" name="SubWeapons2">
              <controlPr defaultSize="0" autoFill="0" autoPict="0">
                <anchor moveWithCells="1">
                  <from>
                    <xdr:col>10</xdr:col>
                    <xdr:colOff>438150</xdr:colOff>
                    <xdr:row>33</xdr:row>
                    <xdr:rowOff>9525</xdr:rowOff>
                  </from>
                  <to>
                    <xdr:col>17</xdr:col>
                    <xdr:colOff>590550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" r:id="rId71" name="Fists2m">
              <controlPr defaultSize="0" autoFill="0" autoLine="0" autoPict="0">
                <anchor moveWithCells="1">
                  <from>
                    <xdr:col>10</xdr:col>
                    <xdr:colOff>466725</xdr:colOff>
                    <xdr:row>30</xdr:row>
                    <xdr:rowOff>66675</xdr:rowOff>
                  </from>
                  <to>
                    <xdr:col>10</xdr:col>
                    <xdr:colOff>1038225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" r:id="rId72" name="Dagger2m">
              <controlPr defaultSize="0" autoFill="0" autoLine="0" autoPict="0">
                <anchor moveWithCells="1">
                  <from>
                    <xdr:col>11</xdr:col>
                    <xdr:colOff>104775</xdr:colOff>
                    <xdr:row>30</xdr:row>
                    <xdr:rowOff>66675</xdr:rowOff>
                  </from>
                  <to>
                    <xdr:col>11</xdr:col>
                    <xdr:colOff>847725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" r:id="rId73" name="Axt2m">
              <controlPr defaultSize="0" autoFill="0" autoLine="0" autoPict="0">
                <anchor moveWithCells="1">
                  <from>
                    <xdr:col>11</xdr:col>
                    <xdr:colOff>895350</xdr:colOff>
                    <xdr:row>30</xdr:row>
                    <xdr:rowOff>76200</xdr:rowOff>
                  </from>
                  <to>
                    <xdr:col>12</xdr:col>
                    <xdr:colOff>600075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" r:id="rId74" name="Sword2m">
              <controlPr defaultSize="0" autoFill="0" autoLine="0" autoPict="0">
                <anchor moveWithCells="1">
                  <from>
                    <xdr:col>12</xdr:col>
                    <xdr:colOff>628650</xdr:colOff>
                    <xdr:row>30</xdr:row>
                    <xdr:rowOff>76200</xdr:rowOff>
                  </from>
                  <to>
                    <xdr:col>13</xdr:col>
                    <xdr:colOff>285750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" r:id="rId75" name="Shield2m">
              <controlPr defaultSize="0" autoFill="0" autoLine="0" autoPict="0">
                <anchor moveWithCells="1">
                  <from>
                    <xdr:col>13</xdr:col>
                    <xdr:colOff>323850</xdr:colOff>
                    <xdr:row>30</xdr:row>
                    <xdr:rowOff>76200</xdr:rowOff>
                  </from>
                  <to>
                    <xdr:col>14</xdr:col>
                    <xdr:colOff>85725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" r:id="rId76" name="Sabre2m">
              <controlPr defaultSize="0" autoFill="0" autoLine="0" autoPict="0">
                <anchor moveWithCells="1">
                  <from>
                    <xdr:col>14</xdr:col>
                    <xdr:colOff>180975</xdr:colOff>
                    <xdr:row>30</xdr:row>
                    <xdr:rowOff>66675</xdr:rowOff>
                  </from>
                  <to>
                    <xdr:col>15</xdr:col>
                    <xdr:colOff>247650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" r:id="rId77" name="Longsword2m">
              <controlPr defaultSize="0" autoFill="0" autoLine="0" autoPict="0">
                <anchor moveWithCells="1">
                  <from>
                    <xdr:col>15</xdr:col>
                    <xdr:colOff>314325</xdr:colOff>
                    <xdr:row>30</xdr:row>
                    <xdr:rowOff>76200</xdr:rowOff>
                  </from>
                  <to>
                    <xdr:col>16</xdr:col>
                    <xdr:colOff>657225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" r:id="rId78" name="Bow2m">
              <controlPr defaultSize="0" autoFill="0" autoLine="0" autoPict="0">
                <anchor moveWithCells="1">
                  <from>
                    <xdr:col>16</xdr:col>
                    <xdr:colOff>723900</xdr:colOff>
                    <xdr:row>30</xdr:row>
                    <xdr:rowOff>66675</xdr:rowOff>
                  </from>
                  <to>
                    <xdr:col>17</xdr:col>
                    <xdr:colOff>485775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" r:id="rId79" name="MainWeapons2">
              <controlPr defaultSize="0" autoFill="0" autoPict="0">
                <anchor moveWithCells="1">
                  <from>
                    <xdr:col>10</xdr:col>
                    <xdr:colOff>428625</xdr:colOff>
                    <xdr:row>29</xdr:row>
                    <xdr:rowOff>76200</xdr:rowOff>
                  </from>
                  <to>
                    <xdr:col>17</xdr:col>
                    <xdr:colOff>600075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" r:id="rId80" name="none12">
              <controlPr defaultSize="0" autoFill="0" autoLine="0" autoPict="0">
                <anchor moveWithCells="1">
                  <from>
                    <xdr:col>10</xdr:col>
                    <xdr:colOff>476250</xdr:colOff>
                    <xdr:row>26</xdr:row>
                    <xdr:rowOff>76200</xdr:rowOff>
                  </from>
                  <to>
                    <xdr:col>11</xdr:col>
                    <xdr:colOff>866775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" r:id="rId81" name="none22">
              <controlPr defaultSize="0" autoFill="0" autoLine="0" autoPict="0">
                <anchor moveWithCells="1">
                  <from>
                    <xdr:col>12</xdr:col>
                    <xdr:colOff>228600</xdr:colOff>
                    <xdr:row>26</xdr:row>
                    <xdr:rowOff>66675</xdr:rowOff>
                  </from>
                  <to>
                    <xdr:col>13</xdr:col>
                    <xdr:colOff>628650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" r:id="rId82" name="none32">
              <controlPr defaultSize="0" autoFill="0" autoLine="0" autoPict="0">
                <anchor moveWithCells="1">
                  <from>
                    <xdr:col>13</xdr:col>
                    <xdr:colOff>866775</xdr:colOff>
                    <xdr:row>26</xdr:row>
                    <xdr:rowOff>66675</xdr:rowOff>
                  </from>
                  <to>
                    <xdr:col>16</xdr:col>
                    <xdr:colOff>180975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" r:id="rId83" name="none42">
              <controlPr defaultSize="0" autoFill="0" autoLine="0" autoPict="0">
                <anchor moveWithCells="1">
                  <from>
                    <xdr:col>16</xdr:col>
                    <xdr:colOff>695325</xdr:colOff>
                    <xdr:row>26</xdr:row>
                    <xdr:rowOff>66675</xdr:rowOff>
                  </from>
                  <to>
                    <xdr:col>19</xdr:col>
                    <xdr:colOff>85725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" r:id="rId84" name="none52">
              <controlPr defaultSize="0" autoFill="0" autoLine="0" autoPict="0">
                <anchor moveWithCells="1">
                  <from>
                    <xdr:col>19</xdr:col>
                    <xdr:colOff>371475</xdr:colOff>
                    <xdr:row>26</xdr:row>
                    <xdr:rowOff>57150</xdr:rowOff>
                  </from>
                  <to>
                    <xdr:col>21</xdr:col>
                    <xdr:colOff>142875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" r:id="rId85" name="PlateHelmet2">
              <controlPr defaultSize="0" autoFill="0" autoLine="0" autoPict="0">
                <anchor moveWithCells="1">
                  <from>
                    <xdr:col>10</xdr:col>
                    <xdr:colOff>476250</xdr:colOff>
                    <xdr:row>24</xdr:row>
                    <xdr:rowOff>47625</xdr:rowOff>
                  </from>
                  <to>
                    <xdr:col>11</xdr:col>
                    <xdr:colOff>866775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" r:id="rId86" name="PlateHarness2">
              <controlPr defaultSize="0" autoFill="0" autoLine="0" autoPict="0">
                <anchor moveWithCells="1">
                  <from>
                    <xdr:col>12</xdr:col>
                    <xdr:colOff>219075</xdr:colOff>
                    <xdr:row>24</xdr:row>
                    <xdr:rowOff>47625</xdr:rowOff>
                  </from>
                  <to>
                    <xdr:col>13</xdr:col>
                    <xdr:colOff>619125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0" r:id="rId87" name="PlateGauntlets2">
              <controlPr defaultSize="0" autoFill="0" autoLine="0" autoPict="0">
                <anchor moveWithCells="1">
                  <from>
                    <xdr:col>13</xdr:col>
                    <xdr:colOff>866775</xdr:colOff>
                    <xdr:row>24</xdr:row>
                    <xdr:rowOff>47625</xdr:rowOff>
                  </from>
                  <to>
                    <xdr:col>16</xdr:col>
                    <xdr:colOff>180975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1" r:id="rId88" name="PlateCuisse2">
              <controlPr defaultSize="0" autoFill="0" autoLine="0" autoPict="0">
                <anchor moveWithCells="1">
                  <from>
                    <xdr:col>16</xdr:col>
                    <xdr:colOff>695325</xdr:colOff>
                    <xdr:row>24</xdr:row>
                    <xdr:rowOff>47625</xdr:rowOff>
                  </from>
                  <to>
                    <xdr:col>19</xdr:col>
                    <xdr:colOff>85725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2" r:id="rId89" name="PlateBoots2">
              <controlPr defaultSize="0" autoFill="0" autoLine="0" autoPict="0">
                <anchor moveWithCells="1">
                  <from>
                    <xdr:col>19</xdr:col>
                    <xdr:colOff>371475</xdr:colOff>
                    <xdr:row>24</xdr:row>
                    <xdr:rowOff>47625</xdr:rowOff>
                  </from>
                  <to>
                    <xdr:col>21</xdr:col>
                    <xdr:colOff>123825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3" r:id="rId90" name="HabergeonHelmet2">
              <controlPr defaultSize="0" autoFill="0" autoLine="0" autoPict="0">
                <anchor moveWithCells="1">
                  <from>
                    <xdr:col>10</xdr:col>
                    <xdr:colOff>476250</xdr:colOff>
                    <xdr:row>22</xdr:row>
                    <xdr:rowOff>9525</xdr:rowOff>
                  </from>
                  <to>
                    <xdr:col>11</xdr:col>
                    <xdr:colOff>866775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4" r:id="rId91" name="HabergeonHarness2">
              <controlPr defaultSize="0" autoFill="0" autoLine="0" autoPict="0">
                <anchor moveWithCells="1">
                  <from>
                    <xdr:col>12</xdr:col>
                    <xdr:colOff>219075</xdr:colOff>
                    <xdr:row>22</xdr:row>
                    <xdr:rowOff>9525</xdr:rowOff>
                  </from>
                  <to>
                    <xdr:col>13</xdr:col>
                    <xdr:colOff>619125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5" r:id="rId92" name="HabergeonGauntlets2">
              <controlPr defaultSize="0" autoFill="0" autoLine="0" autoPict="0">
                <anchor moveWithCells="1">
                  <from>
                    <xdr:col>13</xdr:col>
                    <xdr:colOff>866775</xdr:colOff>
                    <xdr:row>22</xdr:row>
                    <xdr:rowOff>9525</xdr:rowOff>
                  </from>
                  <to>
                    <xdr:col>16</xdr:col>
                    <xdr:colOff>180975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6" r:id="rId93" name="HabergeonCuisse2">
              <controlPr defaultSize="0" autoFill="0" autoLine="0" autoPict="0">
                <anchor moveWithCells="1">
                  <from>
                    <xdr:col>16</xdr:col>
                    <xdr:colOff>676275</xdr:colOff>
                    <xdr:row>22</xdr:row>
                    <xdr:rowOff>9525</xdr:rowOff>
                  </from>
                  <to>
                    <xdr:col>18</xdr:col>
                    <xdr:colOff>523875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7" r:id="rId94" name="HabergeonBoots2">
              <controlPr defaultSize="0" autoFill="0" autoLine="0" autoPict="0">
                <anchor moveWithCells="1">
                  <from>
                    <xdr:col>19</xdr:col>
                    <xdr:colOff>361950</xdr:colOff>
                    <xdr:row>22</xdr:row>
                    <xdr:rowOff>9525</xdr:rowOff>
                  </from>
                  <to>
                    <xdr:col>21</xdr:col>
                    <xdr:colOff>428625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8" r:id="rId95" name="LeatherHelmet2">
              <controlPr defaultSize="0" autoFill="0" autoLine="0" autoPict="0">
                <anchor moveWithCells="1">
                  <from>
                    <xdr:col>10</xdr:col>
                    <xdr:colOff>485775</xdr:colOff>
                    <xdr:row>19</xdr:row>
                    <xdr:rowOff>171450</xdr:rowOff>
                  </from>
                  <to>
                    <xdr:col>11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9" r:id="rId96" name="LeatherHarness2">
              <controlPr defaultSize="0" autoFill="0" autoLine="0" autoPict="0">
                <anchor moveWithCells="1">
                  <from>
                    <xdr:col>12</xdr:col>
                    <xdr:colOff>228600</xdr:colOff>
                    <xdr:row>19</xdr:row>
                    <xdr:rowOff>171450</xdr:rowOff>
                  </from>
                  <to>
                    <xdr:col>13</xdr:col>
                    <xdr:colOff>628650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0" r:id="rId97" name="LeatherGauntlets2">
              <controlPr defaultSize="0" autoFill="0" autoLine="0" autoPict="0">
                <anchor moveWithCells="1">
                  <from>
                    <xdr:col>13</xdr:col>
                    <xdr:colOff>876300</xdr:colOff>
                    <xdr:row>19</xdr:row>
                    <xdr:rowOff>171450</xdr:rowOff>
                  </from>
                  <to>
                    <xdr:col>16</xdr:col>
                    <xdr:colOff>190500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1" r:id="rId98" name="LeatherCuisse2">
              <controlPr defaultSize="0" autoFill="0" autoLine="0" autoPict="0">
                <anchor moveWithCells="1">
                  <from>
                    <xdr:col>16</xdr:col>
                    <xdr:colOff>666750</xdr:colOff>
                    <xdr:row>19</xdr:row>
                    <xdr:rowOff>171450</xdr:rowOff>
                  </from>
                  <to>
                    <xdr:col>19</xdr:col>
                    <xdr:colOff>28575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2" r:id="rId99" name="LeatherBoots2">
              <controlPr defaultSize="0" autoFill="0" autoLine="0" autoPict="0">
                <anchor moveWithCells="1">
                  <from>
                    <xdr:col>19</xdr:col>
                    <xdr:colOff>342900</xdr:colOff>
                    <xdr:row>19</xdr:row>
                    <xdr:rowOff>171450</xdr:rowOff>
                  </from>
                  <to>
                    <xdr:col>21</xdr:col>
                    <xdr:colOff>209550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3" r:id="rId100" name="Head2">
              <controlPr defaultSize="0" autoFill="0" autoPict="0">
                <anchor moveWithCells="1">
                  <from>
                    <xdr:col>10</xdr:col>
                    <xdr:colOff>438150</xdr:colOff>
                    <xdr:row>19</xdr:row>
                    <xdr:rowOff>85725</xdr:rowOff>
                  </from>
                  <to>
                    <xdr:col>12</xdr:col>
                    <xdr:colOff>38100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4" r:id="rId101" name="Chest2">
              <controlPr defaultSize="0" autoFill="0" autoPict="0">
                <anchor moveWithCells="1">
                  <from>
                    <xdr:col>12</xdr:col>
                    <xdr:colOff>171450</xdr:colOff>
                    <xdr:row>19</xdr:row>
                    <xdr:rowOff>85725</xdr:rowOff>
                  </from>
                  <to>
                    <xdr:col>13</xdr:col>
                    <xdr:colOff>733425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5" r:id="rId102" name="Arms2">
              <controlPr defaultSize="0" autoFill="0" autoPict="0">
                <anchor moveWithCells="1">
                  <from>
                    <xdr:col>13</xdr:col>
                    <xdr:colOff>847725</xdr:colOff>
                    <xdr:row>19</xdr:row>
                    <xdr:rowOff>76200</xdr:rowOff>
                  </from>
                  <to>
                    <xdr:col>16</xdr:col>
                    <xdr:colOff>390525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6" r:id="rId103" name="Legs2">
              <controlPr defaultSize="0" autoFill="0" autoPict="0">
                <anchor moveWithCells="1">
                  <from>
                    <xdr:col>16</xdr:col>
                    <xdr:colOff>542925</xdr:colOff>
                    <xdr:row>19</xdr:row>
                    <xdr:rowOff>85725</xdr:rowOff>
                  </from>
                  <to>
                    <xdr:col>19</xdr:col>
                    <xdr:colOff>123825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7" r:id="rId104" name="Feet2">
              <controlPr defaultSize="0" autoFill="0" autoPict="0">
                <anchor moveWithCells="1">
                  <from>
                    <xdr:col>19</xdr:col>
                    <xdr:colOff>276225</xdr:colOff>
                    <xdr:row>19</xdr:row>
                    <xdr:rowOff>76200</xdr:rowOff>
                  </from>
                  <to>
                    <xdr:col>22</xdr:col>
                    <xdr:colOff>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8" r:id="rId105" name="Player2Group">
              <controlPr defaultSize="0" autoFill="0" autoPict="0">
                <anchor moveWithCells="1">
                  <from>
                    <xdr:col>10</xdr:col>
                    <xdr:colOff>171450</xdr:colOff>
                    <xdr:row>18</xdr:row>
                    <xdr:rowOff>0</xdr:rowOff>
                  </from>
                  <to>
                    <xdr:col>22</xdr:col>
                    <xdr:colOff>295275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2" r:id="rId106" name="Player1Attacks">
              <controlPr defaultSize="0" autoFill="0" autoLine="0" autoPict="0">
                <anchor moveWithCells="1">
                  <from>
                    <xdr:col>0</xdr:col>
                    <xdr:colOff>285750</xdr:colOff>
                    <xdr:row>14</xdr:row>
                    <xdr:rowOff>28575</xdr:rowOff>
                  </from>
                  <to>
                    <xdr:col>1</xdr:col>
                    <xdr:colOff>1009650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3" r:id="rId107" name="Player2Attacks">
              <controlPr defaultSize="0" autoFill="0" autoLine="0" autoPict="0">
                <anchor moveWithCells="1">
                  <from>
                    <xdr:col>0</xdr:col>
                    <xdr:colOff>285750</xdr:colOff>
                    <xdr:row>15</xdr:row>
                    <xdr:rowOff>38100</xdr:rowOff>
                  </from>
                  <to>
                    <xdr:col>1</xdr:col>
                    <xdr:colOff>1009650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4" r:id="rId108" name="HeadAttack">
              <controlPr defaultSize="0" autoFill="0" autoLine="0" autoPict="0">
                <anchor moveWithCells="1">
                  <from>
                    <xdr:col>1</xdr:col>
                    <xdr:colOff>619125</xdr:colOff>
                    <xdr:row>10</xdr:row>
                    <xdr:rowOff>114300</xdr:rowOff>
                  </from>
                  <to>
                    <xdr:col>1</xdr:col>
                    <xdr:colOff>1123950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5" r:id="rId109" name="TorsoAttack">
              <controlPr defaultSize="0" autoFill="0" autoLine="0" autoPict="0">
                <anchor moveWithCells="1">
                  <from>
                    <xdr:col>0</xdr:col>
                    <xdr:colOff>304800</xdr:colOff>
                    <xdr:row>10</xdr:row>
                    <xdr:rowOff>133350</xdr:rowOff>
                  </from>
                  <to>
                    <xdr:col>1</xdr:col>
                    <xdr:colOff>533400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6" r:id="rId110" name="ArmsAttack">
              <controlPr defaultSize="0" autoFill="0" autoLine="0" autoPict="0">
                <anchor moveWithCells="1">
                  <from>
                    <xdr:col>1</xdr:col>
                    <xdr:colOff>1181100</xdr:colOff>
                    <xdr:row>10</xdr:row>
                    <xdr:rowOff>133350</xdr:rowOff>
                  </from>
                  <to>
                    <xdr:col>2</xdr:col>
                    <xdr:colOff>266700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7" r:id="rId111" name="LegsAttack">
              <controlPr defaultSize="0" autoFill="0" autoLine="0" autoPict="0">
                <anchor moveWithCells="1">
                  <from>
                    <xdr:col>2</xdr:col>
                    <xdr:colOff>352425</xdr:colOff>
                    <xdr:row>10</xdr:row>
                    <xdr:rowOff>133350</xdr:rowOff>
                  </from>
                  <to>
                    <xdr:col>2</xdr:col>
                    <xdr:colOff>828675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0" r:id="rId112" name="Attacker">
              <controlPr defaultSize="0" autoFill="0" autoPict="0">
                <anchor moveWithCells="1">
                  <from>
                    <xdr:col>0</xdr:col>
                    <xdr:colOff>161925</xdr:colOff>
                    <xdr:row>13</xdr:row>
                    <xdr:rowOff>66675</xdr:rowOff>
                  </from>
                  <to>
                    <xdr:col>1</xdr:col>
                    <xdr:colOff>1076325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1" r:id="rId113" name="AttackType">
              <controlPr defaultSize="0" autoFill="0" autoPict="0">
                <anchor moveWithCells="1">
                  <from>
                    <xdr:col>0</xdr:col>
                    <xdr:colOff>161925</xdr:colOff>
                    <xdr:row>10</xdr:row>
                    <xdr:rowOff>0</xdr:rowOff>
                  </from>
                  <to>
                    <xdr:col>2</xdr:col>
                    <xdr:colOff>990600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2" r:id="rId114" name="InstantCure1">
              <controlPr defaultSize="0" autoFill="0" autoLine="0" autoPict="0">
                <anchor moveWithCells="1">
                  <from>
                    <xdr:col>1</xdr:col>
                    <xdr:colOff>123825</xdr:colOff>
                    <xdr:row>38</xdr:row>
                    <xdr:rowOff>47625</xdr:rowOff>
                  </from>
                  <to>
                    <xdr:col>1</xdr:col>
                    <xdr:colOff>933450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3" r:id="rId115" name="Regeneration1">
              <controlPr defaultSize="0" autoFill="0" autoLine="0" autoPict="0">
                <anchor moveWithCells="1">
                  <from>
                    <xdr:col>1</xdr:col>
                    <xdr:colOff>1219200</xdr:colOff>
                    <xdr:row>38</xdr:row>
                    <xdr:rowOff>47625</xdr:rowOff>
                  </from>
                  <to>
                    <xdr:col>2</xdr:col>
                    <xdr:colOff>695325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4" r:id="rId116" name="Strength1">
              <controlPr defaultSize="0" autoFill="0" autoLine="0" autoPict="0">
                <anchor moveWithCells="1">
                  <from>
                    <xdr:col>2</xdr:col>
                    <xdr:colOff>866775</xdr:colOff>
                    <xdr:row>38</xdr:row>
                    <xdr:rowOff>47625</xdr:rowOff>
                  </from>
                  <to>
                    <xdr:col>3</xdr:col>
                    <xdr:colOff>142875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5" r:id="rId117" name="Speed1">
              <controlPr defaultSize="0" autoFill="0" autoLine="0" autoPict="0">
                <anchor moveWithCells="1">
                  <from>
                    <xdr:col>3</xdr:col>
                    <xdr:colOff>323850</xdr:colOff>
                    <xdr:row>38</xdr:row>
                    <xdr:rowOff>57150</xdr:rowOff>
                  </from>
                  <to>
                    <xdr:col>4</xdr:col>
                    <xdr:colOff>257175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6" r:id="rId118" name="Accuracy1">
              <controlPr defaultSize="0" autoFill="0" autoLine="0" autoPict="0">
                <anchor moveWithCells="1">
                  <from>
                    <xdr:col>4</xdr:col>
                    <xdr:colOff>428625</xdr:colOff>
                    <xdr:row>38</xdr:row>
                    <xdr:rowOff>47625</xdr:rowOff>
                  </from>
                  <to>
                    <xdr:col>5</xdr:col>
                    <xdr:colOff>485775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7" r:id="rId119" name="Blindness1">
              <controlPr defaultSize="0" autoFill="0" autoLine="0" autoPict="0">
                <anchor moveWithCells="1">
                  <from>
                    <xdr:col>5</xdr:col>
                    <xdr:colOff>666750</xdr:colOff>
                    <xdr:row>38</xdr:row>
                    <xdr:rowOff>57150</xdr:rowOff>
                  </from>
                  <to>
                    <xdr:col>6</xdr:col>
                    <xdr:colOff>314325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8" r:id="rId120" name="Slowness1">
              <controlPr defaultSize="0" autoFill="0" autoLine="0" autoPict="0">
                <anchor moveWithCells="1">
                  <from>
                    <xdr:col>6</xdr:col>
                    <xdr:colOff>485775</xdr:colOff>
                    <xdr:row>38</xdr:row>
                    <xdr:rowOff>47625</xdr:rowOff>
                  </from>
                  <to>
                    <xdr:col>7</xdr:col>
                    <xdr:colOff>466725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9" r:id="rId121" name="Poison1">
              <controlPr defaultSize="0" autoFill="0" autoLine="0" autoPict="0">
                <anchor moveWithCells="1">
                  <from>
                    <xdr:col>8</xdr:col>
                    <xdr:colOff>590550</xdr:colOff>
                    <xdr:row>38</xdr:row>
                    <xdr:rowOff>47625</xdr:rowOff>
                  </from>
                  <to>
                    <xdr:col>9</xdr:col>
                    <xdr:colOff>409575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0" r:id="rId122" name="Weakness1">
              <controlPr defaultSize="0" autoFill="0" autoLine="0" autoPict="0">
                <anchor moveWithCells="1">
                  <from>
                    <xdr:col>7</xdr:col>
                    <xdr:colOff>647700</xdr:colOff>
                    <xdr:row>38</xdr:row>
                    <xdr:rowOff>47625</xdr:rowOff>
                  </from>
                  <to>
                    <xdr:col>8</xdr:col>
                    <xdr:colOff>419100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1" r:id="rId123" name="Potions1">
              <controlPr defaultSize="0" autoFill="0" autoPict="0">
                <anchor moveWithCells="1">
                  <from>
                    <xdr:col>1</xdr:col>
                    <xdr:colOff>66675</xdr:colOff>
                    <xdr:row>37</xdr:row>
                    <xdr:rowOff>0</xdr:rowOff>
                  </from>
                  <to>
                    <xdr:col>9</xdr:col>
                    <xdr:colOff>523875</xdr:colOff>
                    <xdr:row>40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2" r:id="rId124" name="InstantCure2">
              <controlPr defaultSize="0" autoFill="0" autoLine="0" autoPict="0">
                <anchor moveWithCells="1">
                  <from>
                    <xdr:col>10</xdr:col>
                    <xdr:colOff>485775</xdr:colOff>
                    <xdr:row>38</xdr:row>
                    <xdr:rowOff>19050</xdr:rowOff>
                  </from>
                  <to>
                    <xdr:col>11</xdr:col>
                    <xdr:colOff>323850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3" r:id="rId125" name="Regeneration2">
              <controlPr defaultSize="0" autoFill="0" autoLine="0" autoPict="0">
                <anchor moveWithCells="1">
                  <from>
                    <xdr:col>11</xdr:col>
                    <xdr:colOff>542925</xdr:colOff>
                    <xdr:row>38</xdr:row>
                    <xdr:rowOff>9525</xdr:rowOff>
                  </from>
                  <to>
                    <xdr:col>12</xdr:col>
                    <xdr:colOff>609600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4" r:id="rId126" name="Strength2">
              <controlPr defaultSize="0" autoFill="0" autoLine="0" autoPict="0">
                <anchor moveWithCells="1">
                  <from>
                    <xdr:col>12</xdr:col>
                    <xdr:colOff>809625</xdr:colOff>
                    <xdr:row>38</xdr:row>
                    <xdr:rowOff>19050</xdr:rowOff>
                  </from>
                  <to>
                    <xdr:col>13</xdr:col>
                    <xdr:colOff>466725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5" r:id="rId127" name="Speed2">
              <controlPr defaultSize="0" autoFill="0" autoLine="0" autoPict="0">
                <anchor moveWithCells="1">
                  <from>
                    <xdr:col>13</xdr:col>
                    <xdr:colOff>666750</xdr:colOff>
                    <xdr:row>38</xdr:row>
                    <xdr:rowOff>19050</xdr:rowOff>
                  </from>
                  <to>
                    <xdr:col>14</xdr:col>
                    <xdr:colOff>352425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6" r:id="rId128" name="Accuracy2">
              <controlPr defaultSize="0" autoFill="0" autoLine="0" autoPict="0">
                <anchor moveWithCells="1">
                  <from>
                    <xdr:col>14</xdr:col>
                    <xdr:colOff>552450</xdr:colOff>
                    <xdr:row>38</xdr:row>
                    <xdr:rowOff>9525</xdr:rowOff>
                  </from>
                  <to>
                    <xdr:col>16</xdr:col>
                    <xdr:colOff>76200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7" r:id="rId129" name="Blindness2">
              <controlPr defaultSize="0" autoFill="0" autoLine="0" autoPict="0">
                <anchor moveWithCells="1">
                  <from>
                    <xdr:col>16</xdr:col>
                    <xdr:colOff>266700</xdr:colOff>
                    <xdr:row>38</xdr:row>
                    <xdr:rowOff>19050</xdr:rowOff>
                  </from>
                  <to>
                    <xdr:col>17</xdr:col>
                    <xdr:colOff>190500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8" r:id="rId130" name="Slowness2">
              <controlPr defaultSize="0" autoFill="0" autoLine="0" autoPict="0">
                <anchor moveWithCells="1">
                  <from>
                    <xdr:col>17</xdr:col>
                    <xdr:colOff>390525</xdr:colOff>
                    <xdr:row>38</xdr:row>
                    <xdr:rowOff>9525</xdr:rowOff>
                  </from>
                  <to>
                    <xdr:col>18</xdr:col>
                    <xdr:colOff>552450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9" r:id="rId131" name="Poison2">
              <controlPr defaultSize="0" autoFill="0" autoLine="0" autoPict="0">
                <anchor moveWithCells="1">
                  <from>
                    <xdr:col>20</xdr:col>
                    <xdr:colOff>552450</xdr:colOff>
                    <xdr:row>38</xdr:row>
                    <xdr:rowOff>9525</xdr:rowOff>
                  </from>
                  <to>
                    <xdr:col>21</xdr:col>
                    <xdr:colOff>533400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0" r:id="rId132" name="Weakness2">
              <controlPr defaultSize="0" autoFill="0" autoLine="0" autoPict="0">
                <anchor moveWithCells="1">
                  <from>
                    <xdr:col>19</xdr:col>
                    <xdr:colOff>133350</xdr:colOff>
                    <xdr:row>38</xdr:row>
                    <xdr:rowOff>19050</xdr:rowOff>
                  </from>
                  <to>
                    <xdr:col>20</xdr:col>
                    <xdr:colOff>352425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1" r:id="rId133" name="Potions2">
              <controlPr defaultSize="0" autoFill="0" autoPict="0">
                <anchor moveWithCells="1">
                  <from>
                    <xdr:col>10</xdr:col>
                    <xdr:colOff>447675</xdr:colOff>
                    <xdr:row>36</xdr:row>
                    <xdr:rowOff>180975</xdr:rowOff>
                  </from>
                  <to>
                    <xdr:col>22</xdr:col>
                    <xdr:colOff>228600</xdr:colOff>
                    <xdr:row>40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48"/>
  <sheetViews>
    <sheetView topLeftCell="A15" workbookViewId="0">
      <selection activeCell="B30" sqref="B30"/>
    </sheetView>
  </sheetViews>
  <sheetFormatPr defaultRowHeight="15" x14ac:dyDescent="0.25"/>
  <cols>
    <col min="1" max="1" width="27.7109375" customWidth="1"/>
    <col min="2" max="2" width="7.7109375" style="89" customWidth="1"/>
    <col min="3" max="3" width="6.85546875" customWidth="1"/>
    <col min="4" max="4" width="30" style="88" customWidth="1"/>
    <col min="5" max="6" width="11" style="83" customWidth="1"/>
    <col min="7" max="7" width="11.7109375" customWidth="1"/>
    <col min="8" max="8" width="4" customWidth="1"/>
  </cols>
  <sheetData>
    <row r="1" spans="1:10" ht="21" x14ac:dyDescent="0.35">
      <c r="A1" s="86" t="s">
        <v>237</v>
      </c>
      <c r="E1" s="90" t="s">
        <v>265</v>
      </c>
      <c r="F1" s="90" t="s">
        <v>266</v>
      </c>
      <c r="G1" s="90" t="s">
        <v>267</v>
      </c>
    </row>
    <row r="3" spans="1:10" x14ac:dyDescent="0.25">
      <c r="A3" s="82" t="s">
        <v>223</v>
      </c>
      <c r="D3" s="87" t="s">
        <v>224</v>
      </c>
      <c r="G3" s="83"/>
      <c r="I3" s="83"/>
      <c r="J3" s="83"/>
    </row>
    <row r="4" spans="1:10" x14ac:dyDescent="0.25">
      <c r="A4" t="s">
        <v>350</v>
      </c>
      <c r="B4" s="89">
        <v>0.3</v>
      </c>
      <c r="D4" s="88" t="s">
        <v>208</v>
      </c>
      <c r="E4" s="83">
        <v>0</v>
      </c>
      <c r="F4" s="83">
        <v>0</v>
      </c>
      <c r="G4" s="83">
        <v>0</v>
      </c>
      <c r="I4" s="84" t="s">
        <v>229</v>
      </c>
    </row>
    <row r="5" spans="1:10" x14ac:dyDescent="0.25">
      <c r="A5" t="s">
        <v>225</v>
      </c>
      <c r="B5" s="89">
        <v>0.3</v>
      </c>
      <c r="D5" s="88" t="s">
        <v>209</v>
      </c>
      <c r="E5" s="83">
        <v>16</v>
      </c>
      <c r="F5" s="83">
        <v>20</v>
      </c>
      <c r="G5" s="83">
        <v>24</v>
      </c>
      <c r="I5" s="84" t="s">
        <v>231</v>
      </c>
    </row>
    <row r="6" spans="1:10" x14ac:dyDescent="0.25">
      <c r="D6" s="88" t="s">
        <v>207</v>
      </c>
      <c r="E6" s="83">
        <v>0</v>
      </c>
      <c r="F6" s="83">
        <v>0</v>
      </c>
      <c r="G6" s="83">
        <v>0</v>
      </c>
      <c r="I6" s="84" t="s">
        <v>234</v>
      </c>
    </row>
    <row r="7" spans="1:10" x14ac:dyDescent="0.25">
      <c r="D7" s="88" t="s">
        <v>232</v>
      </c>
      <c r="E7" s="83">
        <v>1.2000000476837158</v>
      </c>
      <c r="F7" s="83">
        <v>1.5</v>
      </c>
      <c r="G7" s="83">
        <v>1.8000000715255737</v>
      </c>
      <c r="I7" s="84" t="s">
        <v>235</v>
      </c>
    </row>
    <row r="8" spans="1:10" x14ac:dyDescent="0.25">
      <c r="D8" s="88" t="s">
        <v>227</v>
      </c>
      <c r="E8" s="83">
        <v>0</v>
      </c>
      <c r="F8" s="83">
        <v>0</v>
      </c>
      <c r="G8" s="83">
        <v>0</v>
      </c>
      <c r="I8" s="84" t="s">
        <v>229</v>
      </c>
    </row>
    <row r="9" spans="1:10" x14ac:dyDescent="0.25">
      <c r="D9" s="88" t="s">
        <v>228</v>
      </c>
      <c r="E9" s="83">
        <v>16</v>
      </c>
      <c r="F9" s="83">
        <v>20</v>
      </c>
      <c r="G9" s="83">
        <v>24</v>
      </c>
      <c r="I9" s="84" t="s">
        <v>231</v>
      </c>
    </row>
    <row r="10" spans="1:10" x14ac:dyDescent="0.25">
      <c r="D10" s="88" t="s">
        <v>226</v>
      </c>
      <c r="E10" s="83">
        <v>0</v>
      </c>
      <c r="F10" s="83">
        <v>0</v>
      </c>
      <c r="G10" s="83">
        <v>0</v>
      </c>
      <c r="I10" s="84" t="s">
        <v>260</v>
      </c>
    </row>
    <row r="11" spans="1:10" x14ac:dyDescent="0.25">
      <c r="D11" s="88" t="s">
        <v>233</v>
      </c>
      <c r="E11" s="83">
        <v>1.2000000476837158</v>
      </c>
      <c r="F11" s="83">
        <v>1.5</v>
      </c>
      <c r="G11" s="83">
        <v>1.8000000715255737</v>
      </c>
      <c r="I11" s="84" t="s">
        <v>261</v>
      </c>
    </row>
    <row r="12" spans="1:10" x14ac:dyDescent="0.25">
      <c r="A12" s="82"/>
    </row>
    <row r="13" spans="1:10" x14ac:dyDescent="0.25">
      <c r="D13" s="87" t="s">
        <v>210</v>
      </c>
    </row>
    <row r="14" spans="1:10" x14ac:dyDescent="0.25">
      <c r="D14" s="88" t="s">
        <v>241</v>
      </c>
      <c r="E14" s="83">
        <v>23.200000762939453</v>
      </c>
      <c r="F14" s="83">
        <v>23.5</v>
      </c>
      <c r="G14">
        <v>23.799999237060547</v>
      </c>
      <c r="I14" s="84" t="s">
        <v>236</v>
      </c>
    </row>
    <row r="15" spans="1:10" x14ac:dyDescent="0.25">
      <c r="D15" s="88" t="s">
        <v>242</v>
      </c>
      <c r="E15" s="83">
        <v>23.200000762939453</v>
      </c>
      <c r="F15" s="83">
        <v>23.5</v>
      </c>
      <c r="G15">
        <v>23.799999237060547</v>
      </c>
      <c r="I15" s="84" t="s">
        <v>262</v>
      </c>
    </row>
    <row r="21" spans="1:9" ht="21" x14ac:dyDescent="0.35">
      <c r="A21" s="86" t="s">
        <v>238</v>
      </c>
    </row>
    <row r="23" spans="1:9" x14ac:dyDescent="0.25">
      <c r="A23" s="82" t="s">
        <v>223</v>
      </c>
      <c r="D23" s="87" t="s">
        <v>224</v>
      </c>
    </row>
    <row r="24" spans="1:9" x14ac:dyDescent="0.25">
      <c r="A24" t="s">
        <v>239</v>
      </c>
      <c r="B24" s="89">
        <v>0.5</v>
      </c>
      <c r="D24" s="88" t="s">
        <v>241</v>
      </c>
      <c r="E24" s="83">
        <v>48.200000762939453</v>
      </c>
      <c r="F24" s="83">
        <v>72</v>
      </c>
      <c r="G24">
        <v>96.399993896484375</v>
      </c>
      <c r="I24" s="84" t="s">
        <v>258</v>
      </c>
    </row>
    <row r="25" spans="1:9" x14ac:dyDescent="0.25">
      <c r="A25" t="s">
        <v>240</v>
      </c>
      <c r="B25" s="89">
        <v>1.5</v>
      </c>
      <c r="D25" s="88" t="s">
        <v>242</v>
      </c>
      <c r="E25" s="83">
        <v>48.200000762939453</v>
      </c>
      <c r="F25" s="83">
        <v>72</v>
      </c>
      <c r="G25">
        <v>96.399993896484375</v>
      </c>
      <c r="I25" s="84" t="s">
        <v>259</v>
      </c>
    </row>
    <row r="26" spans="1:9" x14ac:dyDescent="0.25">
      <c r="A26" t="s">
        <v>243</v>
      </c>
      <c r="B26" s="89">
        <v>50</v>
      </c>
      <c r="D26" s="88" t="s">
        <v>244</v>
      </c>
      <c r="E26" s="83" t="s">
        <v>247</v>
      </c>
      <c r="I26" s="84" t="s">
        <v>246</v>
      </c>
    </row>
    <row r="27" spans="1:9" x14ac:dyDescent="0.25">
      <c r="A27" t="s">
        <v>250</v>
      </c>
      <c r="B27" s="89">
        <v>40</v>
      </c>
    </row>
    <row r="32" spans="1:9" ht="21" x14ac:dyDescent="0.35">
      <c r="A32" s="86" t="s">
        <v>245</v>
      </c>
    </row>
    <row r="33" spans="1:9" x14ac:dyDescent="0.25">
      <c r="A33" s="82"/>
    </row>
    <row r="34" spans="1:9" x14ac:dyDescent="0.25">
      <c r="D34" s="87" t="s">
        <v>224</v>
      </c>
    </row>
    <row r="35" spans="1:9" x14ac:dyDescent="0.25">
      <c r="D35" s="88" t="s">
        <v>241</v>
      </c>
      <c r="E35" s="83">
        <v>48.200000762939453</v>
      </c>
      <c r="F35" s="83">
        <v>72</v>
      </c>
      <c r="G35">
        <v>96.399993896484375</v>
      </c>
      <c r="I35" s="84" t="s">
        <v>254</v>
      </c>
    </row>
    <row r="36" spans="1:9" x14ac:dyDescent="0.25">
      <c r="D36" s="88" t="s">
        <v>242</v>
      </c>
      <c r="E36" s="83">
        <v>48.200000762939453</v>
      </c>
      <c r="F36" s="83">
        <v>72</v>
      </c>
      <c r="G36">
        <v>96.399993896484375</v>
      </c>
      <c r="I36" s="84" t="s">
        <v>255</v>
      </c>
    </row>
    <row r="37" spans="1:9" x14ac:dyDescent="0.25">
      <c r="D37" s="88" t="s">
        <v>244</v>
      </c>
      <c r="E37" s="83" t="s">
        <v>247</v>
      </c>
      <c r="I37" s="84" t="s">
        <v>246</v>
      </c>
    </row>
    <row r="43" spans="1:9" ht="21" x14ac:dyDescent="0.35">
      <c r="A43" s="86" t="s">
        <v>213</v>
      </c>
    </row>
    <row r="44" spans="1:9" x14ac:dyDescent="0.25">
      <c r="D44" s="87" t="s">
        <v>224</v>
      </c>
    </row>
    <row r="45" spans="1:9" x14ac:dyDescent="0.25">
      <c r="D45" s="88" t="s">
        <v>241</v>
      </c>
      <c r="E45" s="83">
        <v>48.200000762939453</v>
      </c>
      <c r="F45" s="83">
        <v>72</v>
      </c>
      <c r="G45">
        <v>96.399993896484375</v>
      </c>
      <c r="I45" s="84" t="s">
        <v>254</v>
      </c>
    </row>
    <row r="46" spans="1:9" x14ac:dyDescent="0.25">
      <c r="D46" s="88" t="s">
        <v>242</v>
      </c>
      <c r="E46" s="83">
        <v>48.200000762939453</v>
      </c>
      <c r="F46" s="83">
        <v>72</v>
      </c>
      <c r="G46">
        <v>96.399993896484375</v>
      </c>
      <c r="I46" s="84" t="s">
        <v>255</v>
      </c>
    </row>
    <row r="47" spans="1:9" x14ac:dyDescent="0.25">
      <c r="D47" s="88" t="s">
        <v>251</v>
      </c>
      <c r="E47" s="83" t="s">
        <v>247</v>
      </c>
      <c r="I47" s="84" t="s">
        <v>256</v>
      </c>
    </row>
    <row r="48" spans="1:9" x14ac:dyDescent="0.25">
      <c r="D48" s="88" t="s">
        <v>213</v>
      </c>
      <c r="E48" s="83" t="b">
        <v>1</v>
      </c>
      <c r="I48" s="84" t="s">
        <v>257</v>
      </c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23"/>
  <sheetViews>
    <sheetView topLeftCell="B1" workbookViewId="0">
      <selection activeCell="D32" sqref="D32"/>
    </sheetView>
  </sheetViews>
  <sheetFormatPr defaultRowHeight="15" x14ac:dyDescent="0.25"/>
  <cols>
    <col min="1" max="1" width="20" customWidth="1"/>
    <col min="2" max="2" width="9" style="91" customWidth="1"/>
    <col min="4" max="4" width="26.7109375" customWidth="1"/>
    <col min="9" max="9" width="9.140625" style="84"/>
  </cols>
  <sheetData>
    <row r="1" spans="1:9" ht="21" x14ac:dyDescent="0.35">
      <c r="A1" s="86" t="s">
        <v>252</v>
      </c>
      <c r="E1" s="90" t="s">
        <v>265</v>
      </c>
      <c r="F1" s="90" t="s">
        <v>266</v>
      </c>
      <c r="G1" s="90" t="s">
        <v>267</v>
      </c>
    </row>
    <row r="3" spans="1:9" x14ac:dyDescent="0.25">
      <c r="A3" s="82" t="s">
        <v>223</v>
      </c>
      <c r="D3" s="82" t="s">
        <v>210</v>
      </c>
    </row>
    <row r="4" spans="1:9" x14ac:dyDescent="0.25">
      <c r="A4" t="s">
        <v>253</v>
      </c>
      <c r="B4" s="91">
        <v>4</v>
      </c>
      <c r="D4" t="s">
        <v>263</v>
      </c>
      <c r="E4">
        <v>40</v>
      </c>
      <c r="F4">
        <v>50</v>
      </c>
      <c r="G4">
        <v>60.000003814697266</v>
      </c>
      <c r="I4" s="84" t="s">
        <v>277</v>
      </c>
    </row>
    <row r="5" spans="1:9" x14ac:dyDescent="0.25">
      <c r="D5" t="s">
        <v>264</v>
      </c>
      <c r="E5">
        <v>52</v>
      </c>
      <c r="F5">
        <v>65</v>
      </c>
      <c r="G5">
        <v>78</v>
      </c>
      <c r="I5" s="84" t="s">
        <v>278</v>
      </c>
    </row>
    <row r="11" spans="1:9" ht="21" x14ac:dyDescent="0.35">
      <c r="A11" s="86" t="s">
        <v>268</v>
      </c>
    </row>
    <row r="13" spans="1:9" x14ac:dyDescent="0.25">
      <c r="A13" s="82" t="s">
        <v>223</v>
      </c>
      <c r="D13" s="82" t="s">
        <v>224</v>
      </c>
    </row>
    <row r="14" spans="1:9" x14ac:dyDescent="0.25">
      <c r="A14" t="s">
        <v>269</v>
      </c>
      <c r="B14" s="91">
        <v>0.5</v>
      </c>
      <c r="D14" t="s">
        <v>275</v>
      </c>
      <c r="E14" t="s">
        <v>97</v>
      </c>
    </row>
    <row r="15" spans="1:9" x14ac:dyDescent="0.25">
      <c r="A15" t="s">
        <v>270</v>
      </c>
      <c r="B15" s="91">
        <v>1.5</v>
      </c>
      <c r="D15" t="s">
        <v>351</v>
      </c>
      <c r="E15">
        <v>0.85000002384185791</v>
      </c>
    </row>
    <row r="16" spans="1:9" x14ac:dyDescent="0.25">
      <c r="A16" t="s">
        <v>279</v>
      </c>
      <c r="B16" s="91">
        <v>50</v>
      </c>
    </row>
    <row r="17" spans="1:9" x14ac:dyDescent="0.25">
      <c r="A17" t="s">
        <v>250</v>
      </c>
      <c r="B17" s="91">
        <v>40</v>
      </c>
      <c r="D17" s="82" t="s">
        <v>210</v>
      </c>
    </row>
    <row r="18" spans="1:9" x14ac:dyDescent="0.25">
      <c r="D18" t="s">
        <v>271</v>
      </c>
      <c r="E18">
        <v>55.25</v>
      </c>
      <c r="F18">
        <v>106.25</v>
      </c>
      <c r="G18">
        <v>174.25001525878906</v>
      </c>
      <c r="I18" s="84" t="s">
        <v>282</v>
      </c>
    </row>
    <row r="19" spans="1:9" x14ac:dyDescent="0.25">
      <c r="D19" t="s">
        <v>273</v>
      </c>
      <c r="E19">
        <v>48.200000762939453</v>
      </c>
      <c r="F19">
        <v>72</v>
      </c>
      <c r="G19">
        <v>96.399993896484375</v>
      </c>
      <c r="I19" s="84" t="s">
        <v>284</v>
      </c>
    </row>
    <row r="20" spans="1:9" x14ac:dyDescent="0.25">
      <c r="D20" t="s">
        <v>272</v>
      </c>
      <c r="E20">
        <v>55.25</v>
      </c>
      <c r="F20">
        <v>106.25</v>
      </c>
      <c r="G20">
        <v>174.25001525878906</v>
      </c>
      <c r="I20" s="84" t="s">
        <v>283</v>
      </c>
    </row>
    <row r="21" spans="1:9" x14ac:dyDescent="0.25">
      <c r="D21" t="s">
        <v>274</v>
      </c>
      <c r="E21">
        <v>48.200000762939453</v>
      </c>
      <c r="F21">
        <v>72</v>
      </c>
      <c r="G21">
        <v>96.399993896484375</v>
      </c>
      <c r="I21" s="84" t="s">
        <v>285</v>
      </c>
    </row>
    <row r="22" spans="1:9" x14ac:dyDescent="0.25">
      <c r="D22" t="s">
        <v>276</v>
      </c>
      <c r="E22" t="s">
        <v>303</v>
      </c>
      <c r="I22" s="84" t="s">
        <v>286</v>
      </c>
    </row>
    <row r="23" spans="1:9" x14ac:dyDescent="0.25">
      <c r="D23" t="s">
        <v>214</v>
      </c>
      <c r="E23" t="b">
        <v>1</v>
      </c>
      <c r="I23" s="84" t="s">
        <v>287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28"/>
  <sheetViews>
    <sheetView topLeftCell="C1" workbookViewId="0">
      <selection activeCell="C18" sqref="C18"/>
    </sheetView>
  </sheetViews>
  <sheetFormatPr defaultRowHeight="15" x14ac:dyDescent="0.25"/>
  <cols>
    <col min="1" max="1" width="20" customWidth="1"/>
    <col min="2" max="2" width="9.140625" style="93"/>
    <col min="4" max="4" width="26.7109375" customWidth="1"/>
    <col min="9" max="9" width="9.140625" style="84"/>
  </cols>
  <sheetData>
    <row r="1" spans="1:9" ht="21" x14ac:dyDescent="0.35">
      <c r="A1" s="86" t="s">
        <v>288</v>
      </c>
      <c r="E1" s="90" t="s">
        <v>265</v>
      </c>
      <c r="F1" s="90" t="s">
        <v>266</v>
      </c>
      <c r="G1" s="90" t="s">
        <v>267</v>
      </c>
    </row>
    <row r="3" spans="1:9" x14ac:dyDescent="0.25">
      <c r="A3" s="82" t="s">
        <v>223</v>
      </c>
      <c r="D3" s="82" t="s">
        <v>224</v>
      </c>
    </row>
    <row r="4" spans="1:9" x14ac:dyDescent="0.25">
      <c r="A4" t="s">
        <v>306</v>
      </c>
      <c r="B4" s="93">
        <v>100</v>
      </c>
      <c r="D4" t="s">
        <v>289</v>
      </c>
      <c r="E4">
        <v>8</v>
      </c>
      <c r="F4">
        <v>10</v>
      </c>
      <c r="G4">
        <v>12</v>
      </c>
      <c r="I4" s="84" t="s">
        <v>339</v>
      </c>
    </row>
    <row r="5" spans="1:9" x14ac:dyDescent="0.25">
      <c r="A5" t="s">
        <v>307</v>
      </c>
      <c r="B5" s="93">
        <v>100</v>
      </c>
      <c r="D5" t="s">
        <v>290</v>
      </c>
      <c r="E5">
        <v>8</v>
      </c>
      <c r="F5">
        <v>10</v>
      </c>
      <c r="G5">
        <v>12</v>
      </c>
      <c r="I5" s="84" t="s">
        <v>340</v>
      </c>
    </row>
    <row r="6" spans="1:9" x14ac:dyDescent="0.25">
      <c r="A6" t="s">
        <v>309</v>
      </c>
      <c r="B6" s="93">
        <v>150</v>
      </c>
      <c r="D6" t="s">
        <v>291</v>
      </c>
      <c r="E6">
        <v>25</v>
      </c>
      <c r="F6">
        <v>25</v>
      </c>
      <c r="G6">
        <v>25</v>
      </c>
    </row>
    <row r="7" spans="1:9" x14ac:dyDescent="0.25">
      <c r="A7" t="s">
        <v>308</v>
      </c>
      <c r="B7" s="93">
        <v>200</v>
      </c>
      <c r="D7" t="s">
        <v>292</v>
      </c>
      <c r="E7">
        <v>25</v>
      </c>
      <c r="F7">
        <v>25</v>
      </c>
      <c r="G7">
        <v>25</v>
      </c>
    </row>
    <row r="8" spans="1:9" x14ac:dyDescent="0.25">
      <c r="A8" t="s">
        <v>250</v>
      </c>
      <c r="B8" s="93">
        <v>100</v>
      </c>
      <c r="D8" s="92" t="s">
        <v>295</v>
      </c>
      <c r="E8">
        <v>0</v>
      </c>
      <c r="F8">
        <v>0</v>
      </c>
      <c r="G8">
        <v>0</v>
      </c>
      <c r="I8" s="84" t="s">
        <v>342</v>
      </c>
    </row>
    <row r="9" spans="1:9" x14ac:dyDescent="0.25">
      <c r="A9" t="s">
        <v>305</v>
      </c>
      <c r="B9" s="93">
        <v>45</v>
      </c>
      <c r="D9" s="92" t="s">
        <v>296</v>
      </c>
      <c r="E9">
        <v>0</v>
      </c>
      <c r="F9">
        <v>0</v>
      </c>
      <c r="G9">
        <v>0</v>
      </c>
      <c r="I9" s="84" t="s">
        <v>341</v>
      </c>
    </row>
    <row r="10" spans="1:9" x14ac:dyDescent="0.25">
      <c r="A10" t="s">
        <v>310</v>
      </c>
      <c r="B10" s="93">
        <v>1</v>
      </c>
    </row>
    <row r="11" spans="1:9" ht="15.75" customHeight="1" x14ac:dyDescent="0.25">
      <c r="A11" t="s">
        <v>304</v>
      </c>
      <c r="B11" s="93">
        <v>1.5</v>
      </c>
      <c r="D11" t="s">
        <v>294</v>
      </c>
      <c r="E11" t="s">
        <v>97</v>
      </c>
    </row>
    <row r="12" spans="1:9" x14ac:dyDescent="0.25">
      <c r="A12" t="s">
        <v>311</v>
      </c>
      <c r="B12" s="93">
        <v>0.5</v>
      </c>
      <c r="D12" s="92" t="s">
        <v>293</v>
      </c>
      <c r="E12">
        <v>0.375</v>
      </c>
      <c r="F12">
        <v>0.4375</v>
      </c>
      <c r="G12">
        <v>0.5</v>
      </c>
      <c r="I12" s="84" t="s">
        <v>343</v>
      </c>
    </row>
    <row r="13" spans="1:9" x14ac:dyDescent="0.25">
      <c r="A13" s="82"/>
    </row>
    <row r="14" spans="1:9" x14ac:dyDescent="0.25">
      <c r="D14" s="92" t="s">
        <v>299</v>
      </c>
      <c r="E14">
        <v>17.0625</v>
      </c>
      <c r="F14">
        <v>20.78125</v>
      </c>
      <c r="G14">
        <v>24.75</v>
      </c>
      <c r="I14" s="84" t="s">
        <v>344</v>
      </c>
    </row>
    <row r="15" spans="1:9" x14ac:dyDescent="0.25">
      <c r="D15" s="92" t="s">
        <v>300</v>
      </c>
      <c r="E15">
        <v>17.0625</v>
      </c>
      <c r="F15">
        <v>20.78125</v>
      </c>
      <c r="G15">
        <v>24.75</v>
      </c>
      <c r="I15" s="84" t="s">
        <v>345</v>
      </c>
    </row>
    <row r="16" spans="1:9" x14ac:dyDescent="0.25">
      <c r="D16" s="92" t="s">
        <v>297</v>
      </c>
      <c r="E16">
        <v>100</v>
      </c>
      <c r="F16">
        <v>100</v>
      </c>
      <c r="G16">
        <v>100</v>
      </c>
      <c r="I16" s="84" t="s">
        <v>346</v>
      </c>
    </row>
    <row r="17" spans="1:9" x14ac:dyDescent="0.25">
      <c r="D17" s="92" t="s">
        <v>298</v>
      </c>
      <c r="E17">
        <v>100</v>
      </c>
      <c r="F17">
        <v>100</v>
      </c>
      <c r="G17">
        <v>100</v>
      </c>
      <c r="I17" s="84" t="s">
        <v>347</v>
      </c>
    </row>
    <row r="19" spans="1:9" x14ac:dyDescent="0.25">
      <c r="D19" s="82" t="s">
        <v>210</v>
      </c>
    </row>
    <row r="20" spans="1:9" x14ac:dyDescent="0.25">
      <c r="D20" s="92" t="s">
        <v>301</v>
      </c>
      <c r="E20">
        <v>7.6781249046325684</v>
      </c>
      <c r="F20">
        <v>9.3515625</v>
      </c>
      <c r="G20">
        <v>11.137499809265137</v>
      </c>
      <c r="I20" s="84" t="s">
        <v>348</v>
      </c>
    </row>
    <row r="21" spans="1:9" x14ac:dyDescent="0.25">
      <c r="D21" s="92" t="s">
        <v>302</v>
      </c>
      <c r="E21">
        <v>7.6781249046325684</v>
      </c>
      <c r="F21">
        <v>9.3515625</v>
      </c>
      <c r="G21">
        <v>11.137499809265137</v>
      </c>
      <c r="I21" s="84" t="s">
        <v>349</v>
      </c>
    </row>
    <row r="22" spans="1:9" x14ac:dyDescent="0.25">
      <c r="A22" s="92"/>
      <c r="D22" s="92"/>
    </row>
    <row r="23" spans="1:9" x14ac:dyDescent="0.25">
      <c r="A23" s="92"/>
    </row>
    <row r="24" spans="1:9" x14ac:dyDescent="0.25">
      <c r="A24" s="92"/>
    </row>
    <row r="25" spans="1:9" x14ac:dyDescent="0.25">
      <c r="A25" s="92"/>
    </row>
    <row r="26" spans="1:9" x14ac:dyDescent="0.25">
      <c r="A26" s="92"/>
    </row>
    <row r="27" spans="1:9" x14ac:dyDescent="0.25">
      <c r="A27" s="92"/>
    </row>
    <row r="28" spans="1:9" x14ac:dyDescent="0.25">
      <c r="A28" s="92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24"/>
  <sheetViews>
    <sheetView topLeftCell="B1" workbookViewId="0">
      <selection activeCell="A11" sqref="A11"/>
    </sheetView>
  </sheetViews>
  <sheetFormatPr defaultRowHeight="15" x14ac:dyDescent="0.25"/>
  <cols>
    <col min="1" max="1" width="26.7109375" customWidth="1"/>
    <col min="4" max="4" width="27.140625" customWidth="1"/>
  </cols>
  <sheetData>
    <row r="1" spans="1:9" ht="21" x14ac:dyDescent="0.35">
      <c r="A1" s="86" t="s">
        <v>312</v>
      </c>
      <c r="B1" s="93"/>
      <c r="E1" s="90" t="s">
        <v>265</v>
      </c>
      <c r="F1" s="90" t="s">
        <v>266</v>
      </c>
      <c r="G1" s="90" t="s">
        <v>267</v>
      </c>
    </row>
    <row r="2" spans="1:9" x14ac:dyDescent="0.25">
      <c r="B2" s="93"/>
    </row>
    <row r="3" spans="1:9" x14ac:dyDescent="0.25">
      <c r="A3" s="82" t="s">
        <v>223</v>
      </c>
      <c r="B3" s="93"/>
      <c r="D3" s="82" t="s">
        <v>224</v>
      </c>
    </row>
    <row r="4" spans="1:9" x14ac:dyDescent="0.25">
      <c r="A4" t="s">
        <v>321</v>
      </c>
      <c r="B4" s="93">
        <v>1</v>
      </c>
      <c r="D4" t="s">
        <v>316</v>
      </c>
      <c r="E4">
        <v>0</v>
      </c>
      <c r="F4">
        <v>0</v>
      </c>
      <c r="G4">
        <v>0</v>
      </c>
    </row>
    <row r="5" spans="1:9" x14ac:dyDescent="0.25">
      <c r="A5" t="s">
        <v>313</v>
      </c>
      <c r="B5" s="93">
        <v>1.05</v>
      </c>
      <c r="D5" t="s">
        <v>317</v>
      </c>
      <c r="E5">
        <v>0</v>
      </c>
      <c r="F5">
        <v>0</v>
      </c>
      <c r="G5">
        <v>0</v>
      </c>
    </row>
    <row r="6" spans="1:9" x14ac:dyDescent="0.25">
      <c r="A6" t="s">
        <v>314</v>
      </c>
      <c r="B6" s="93">
        <v>1</v>
      </c>
    </row>
    <row r="7" spans="1:9" x14ac:dyDescent="0.25">
      <c r="A7" t="s">
        <v>315</v>
      </c>
      <c r="B7" s="93">
        <v>0.95</v>
      </c>
      <c r="D7" t="s">
        <v>294</v>
      </c>
      <c r="E7" t="s">
        <v>97</v>
      </c>
    </row>
    <row r="8" spans="1:9" x14ac:dyDescent="0.25">
      <c r="B8" s="93"/>
      <c r="D8" t="s">
        <v>318</v>
      </c>
      <c r="E8" t="s">
        <v>10</v>
      </c>
    </row>
    <row r="9" spans="1:9" x14ac:dyDescent="0.25">
      <c r="B9" s="93"/>
      <c r="D9" s="92" t="s">
        <v>322</v>
      </c>
      <c r="E9">
        <v>1</v>
      </c>
      <c r="F9">
        <v>1</v>
      </c>
      <c r="G9">
        <v>1</v>
      </c>
      <c r="I9" s="84" t="s">
        <v>335</v>
      </c>
    </row>
    <row r="10" spans="1:9" x14ac:dyDescent="0.25">
      <c r="B10" s="93"/>
      <c r="D10" s="92" t="s">
        <v>323</v>
      </c>
      <c r="E10">
        <v>1</v>
      </c>
      <c r="F10">
        <v>1</v>
      </c>
      <c r="G10">
        <v>1</v>
      </c>
      <c r="I10" s="84" t="s">
        <v>336</v>
      </c>
    </row>
    <row r="11" spans="1:9" x14ac:dyDescent="0.25">
      <c r="B11" s="93"/>
    </row>
    <row r="12" spans="1:9" x14ac:dyDescent="0.25">
      <c r="B12" s="93"/>
      <c r="D12" s="82" t="s">
        <v>210</v>
      </c>
    </row>
    <row r="13" spans="1:9" x14ac:dyDescent="0.25">
      <c r="A13" s="82"/>
      <c r="B13" s="93"/>
      <c r="D13" s="92" t="s">
        <v>319</v>
      </c>
      <c r="E13">
        <v>0</v>
      </c>
      <c r="F13">
        <v>0</v>
      </c>
      <c r="G13">
        <v>0</v>
      </c>
      <c r="I13" s="84" t="s">
        <v>337</v>
      </c>
    </row>
    <row r="14" spans="1:9" x14ac:dyDescent="0.25">
      <c r="B14" s="93"/>
      <c r="D14" s="92" t="s">
        <v>320</v>
      </c>
      <c r="E14">
        <v>0</v>
      </c>
      <c r="F14">
        <v>0</v>
      </c>
      <c r="G14">
        <v>0</v>
      </c>
      <c r="I14" s="84" t="s">
        <v>338</v>
      </c>
    </row>
    <row r="15" spans="1:9" x14ac:dyDescent="0.25">
      <c r="B15" s="93"/>
      <c r="D15" s="92"/>
    </row>
    <row r="16" spans="1:9" x14ac:dyDescent="0.25">
      <c r="B16" s="93"/>
    </row>
    <row r="17" spans="1:4" x14ac:dyDescent="0.25">
      <c r="B17" s="93"/>
    </row>
    <row r="18" spans="1:4" x14ac:dyDescent="0.25">
      <c r="B18" s="93"/>
      <c r="D18" s="92"/>
    </row>
    <row r="19" spans="1:4" x14ac:dyDescent="0.25">
      <c r="B19" s="93"/>
    </row>
    <row r="20" spans="1:4" x14ac:dyDescent="0.25">
      <c r="B20" s="93"/>
    </row>
    <row r="21" spans="1:4" x14ac:dyDescent="0.25">
      <c r="B21" s="93"/>
    </row>
    <row r="22" spans="1:4" x14ac:dyDescent="0.25">
      <c r="A22" s="92"/>
      <c r="B22" s="93"/>
    </row>
    <row r="23" spans="1:4" x14ac:dyDescent="0.25">
      <c r="A23" s="92"/>
      <c r="B23" s="93"/>
    </row>
    <row r="24" spans="1:4" x14ac:dyDescent="0.25">
      <c r="A24" s="92"/>
      <c r="B24" s="93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17"/>
  <sheetViews>
    <sheetView tabSelected="1" workbookViewId="0">
      <selection activeCell="G10" sqref="G10"/>
    </sheetView>
  </sheetViews>
  <sheetFormatPr defaultRowHeight="15" x14ac:dyDescent="0.25"/>
  <cols>
    <col min="1" max="1" width="27" customWidth="1"/>
    <col min="4" max="4" width="27.7109375" customWidth="1"/>
    <col min="6" max="6" width="8.7109375" customWidth="1"/>
  </cols>
  <sheetData>
    <row r="1" spans="1:7" ht="21" x14ac:dyDescent="0.35">
      <c r="A1" s="86" t="s">
        <v>333</v>
      </c>
      <c r="B1" s="93"/>
      <c r="E1" s="90"/>
      <c r="F1" s="90"/>
      <c r="G1" s="90"/>
    </row>
    <row r="2" spans="1:7" x14ac:dyDescent="0.25">
      <c r="B2" s="93"/>
    </row>
    <row r="3" spans="1:7" x14ac:dyDescent="0.25">
      <c r="A3" s="82" t="s">
        <v>223</v>
      </c>
      <c r="B3" s="93"/>
      <c r="D3" s="82" t="s">
        <v>224</v>
      </c>
    </row>
    <row r="4" spans="1:7" x14ac:dyDescent="0.25">
      <c r="A4" t="s">
        <v>250</v>
      </c>
      <c r="B4" s="93">
        <v>50</v>
      </c>
      <c r="D4" t="s">
        <v>329</v>
      </c>
      <c r="E4" s="95">
        <v>50</v>
      </c>
    </row>
    <row r="5" spans="1:7" x14ac:dyDescent="0.25">
      <c r="B5" s="93"/>
      <c r="D5" t="s">
        <v>330</v>
      </c>
      <c r="E5">
        <v>1</v>
      </c>
    </row>
    <row r="6" spans="1:7" x14ac:dyDescent="0.25">
      <c r="B6" s="93"/>
      <c r="D6" t="s">
        <v>327</v>
      </c>
      <c r="E6" t="s">
        <v>8</v>
      </c>
    </row>
    <row r="7" spans="1:7" x14ac:dyDescent="0.25">
      <c r="B7" s="93"/>
      <c r="D7" t="s">
        <v>318</v>
      </c>
      <c r="E7" t="s">
        <v>10</v>
      </c>
    </row>
    <row r="8" spans="1:7" x14ac:dyDescent="0.25">
      <c r="B8" s="93"/>
    </row>
    <row r="9" spans="1:7" x14ac:dyDescent="0.25">
      <c r="B9" s="93"/>
      <c r="D9" s="82" t="s">
        <v>210</v>
      </c>
    </row>
    <row r="10" spans="1:7" x14ac:dyDescent="0.25">
      <c r="B10" s="93"/>
      <c r="D10" s="92" t="s">
        <v>332</v>
      </c>
      <c r="E10" s="95">
        <v>50</v>
      </c>
      <c r="G10" s="84" t="s">
        <v>334</v>
      </c>
    </row>
    <row r="11" spans="1:7" x14ac:dyDescent="0.25">
      <c r="B11" s="93"/>
    </row>
    <row r="12" spans="1:7" x14ac:dyDescent="0.25">
      <c r="B12" s="93"/>
    </row>
    <row r="13" spans="1:7" x14ac:dyDescent="0.25">
      <c r="A13" s="82"/>
      <c r="B13" s="93"/>
    </row>
    <row r="14" spans="1:7" x14ac:dyDescent="0.25">
      <c r="B14" s="93"/>
      <c r="D14" s="92"/>
    </row>
    <row r="15" spans="1:7" x14ac:dyDescent="0.25">
      <c r="B15" s="93"/>
      <c r="D15" s="92"/>
    </row>
    <row r="16" spans="1:7" x14ac:dyDescent="0.25">
      <c r="B16" s="93"/>
    </row>
    <row r="17" spans="2:2" x14ac:dyDescent="0.25">
      <c r="B17" s="9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Info</vt:lpstr>
      <vt:lpstr>Rooms</vt:lpstr>
      <vt:lpstr>Attacks</vt:lpstr>
      <vt:lpstr>Monsters</vt:lpstr>
      <vt:lpstr>Armaments</vt:lpstr>
      <vt:lpstr>Potions</vt:lpstr>
      <vt:lpstr>Weapons</vt:lpstr>
      <vt:lpstr>Fight</vt:lpstr>
      <vt:lpstr>SpeedFunctions</vt:lpstr>
      <vt:lpstr>AccuracyFunctions</vt:lpstr>
      <vt:lpstr>HealthFunctions</vt:lpstr>
      <vt:lpstr>AttributeFunctions</vt:lpstr>
      <vt:lpstr>PotionFunctions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Flo</cp:lastModifiedBy>
  <cp:revision/>
  <dcterms:created xsi:type="dcterms:W3CDTF">2014-10-15T13:23:10Z</dcterms:created>
  <dcterms:modified xsi:type="dcterms:W3CDTF">2014-12-23T13:38:03Z</dcterms:modified>
</cp:coreProperties>
</file>